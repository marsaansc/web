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nish\Startup\MARSSAN\"/>
    </mc:Choice>
  </mc:AlternateContent>
  <xr:revisionPtr revIDLastSave="0" documentId="13_ncr:1_{68D35F97-15C4-4A9B-9D58-D11BEF1305A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ADME" sheetId="1" r:id="rId1"/>
    <sheet name="Inputs_Assumptions" sheetId="2" r:id="rId2"/>
    <sheet name="Products_Master" sheetId="3" r:id="rId3"/>
    <sheet name="Inventory_Plan_5L" sheetId="4" r:id="rId4"/>
    <sheet name="Inventory_Plan_10L" sheetId="5" r:id="rId5"/>
    <sheet name="Inventory_Plan_20L" sheetId="6" r:id="rId6"/>
    <sheet name="FPGA_Board_BOM" sheetId="7" r:id="rId7"/>
    <sheet name="Amazon_IndiaMart_Playbook" sheetId="8" r:id="rId8"/>
    <sheet name="Vendors_Suppliers" sheetId="9" r:id="rId9"/>
    <sheet name="Vendor_Directory" sheetId="10" r:id="rId10"/>
    <sheet name="Top10_GTM_Summary" sheetId="11" r:id="rId11"/>
    <sheet name="HighPriority_All" sheetId="12" r:id="rId12"/>
  </sheets>
  <definedNames>
    <definedName name="_xlnm._FilterDatabase" localSheetId="6" hidden="1">FPGA_Board_BOM!$A$3:$H$3</definedName>
    <definedName name="_xlnm._FilterDatabase" localSheetId="11" hidden="1">HighPriority_All!$A$2:$X$22</definedName>
    <definedName name="_xlnm._FilterDatabase" localSheetId="4" hidden="1">Inventory_Plan_10L!$A$4:$H$4</definedName>
    <definedName name="_xlnm._FilterDatabase" localSheetId="5" hidden="1">Inventory_Plan_20L!$A$4:$H$4</definedName>
    <definedName name="_xlnm._FilterDatabase" localSheetId="3" hidden="1">Inventory_Plan_5L!$A$4:$H$4</definedName>
    <definedName name="_xlnm._FilterDatabase" localSheetId="2" hidden="1">Products_Master!$A$1:$CV$72</definedName>
    <definedName name="_xlnm._FilterDatabase" localSheetId="10" hidden="1">Top10_GTM_Summary!$A$2:$X$12</definedName>
  </definedNames>
  <calcPr calcId="191029"/>
</workbook>
</file>

<file path=xl/calcChain.xml><?xml version="1.0" encoding="utf-8"?>
<calcChain xmlns="http://schemas.openxmlformats.org/spreadsheetml/2006/main">
  <c r="J22" i="12" l="1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12" i="11"/>
  <c r="J11" i="11"/>
  <c r="J10" i="11"/>
  <c r="J9" i="11"/>
  <c r="J8" i="11"/>
  <c r="J7" i="11"/>
  <c r="J6" i="11"/>
  <c r="J5" i="11"/>
  <c r="J4" i="11"/>
  <c r="J3" i="11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23" i="7" s="1"/>
  <c r="H5" i="7"/>
  <c r="H4" i="7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E67" i="6"/>
  <c r="D67" i="6"/>
  <c r="C67" i="6"/>
  <c r="B67" i="6"/>
  <c r="A67" i="6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B63" i="6"/>
  <c r="A63" i="6"/>
  <c r="E62" i="6"/>
  <c r="D62" i="6"/>
  <c r="C62" i="6"/>
  <c r="B62" i="6"/>
  <c r="A62" i="6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B59" i="6"/>
  <c r="A59" i="6"/>
  <c r="E58" i="6"/>
  <c r="D58" i="6"/>
  <c r="C58" i="6"/>
  <c r="B58" i="6"/>
  <c r="A58" i="6"/>
  <c r="E57" i="6"/>
  <c r="D57" i="6"/>
  <c r="C57" i="6"/>
  <c r="B57" i="6"/>
  <c r="A57" i="6"/>
  <c r="E56" i="6"/>
  <c r="D56" i="6"/>
  <c r="C56" i="6"/>
  <c r="B56" i="6"/>
  <c r="A56" i="6"/>
  <c r="E55" i="6"/>
  <c r="D55" i="6"/>
  <c r="C55" i="6"/>
  <c r="B55" i="6"/>
  <c r="A55" i="6"/>
  <c r="E54" i="6"/>
  <c r="D54" i="6"/>
  <c r="C54" i="6"/>
  <c r="B54" i="6"/>
  <c r="A54" i="6"/>
  <c r="E53" i="6"/>
  <c r="D53" i="6"/>
  <c r="C53" i="6"/>
  <c r="B53" i="6"/>
  <c r="A53" i="6"/>
  <c r="E52" i="6"/>
  <c r="D52" i="6"/>
  <c r="C52" i="6"/>
  <c r="B52" i="6"/>
  <c r="A52" i="6"/>
  <c r="E51" i="6"/>
  <c r="D51" i="6"/>
  <c r="C51" i="6"/>
  <c r="B51" i="6"/>
  <c r="A51" i="6"/>
  <c r="E50" i="6"/>
  <c r="D50" i="6"/>
  <c r="C50" i="6"/>
  <c r="B50" i="6"/>
  <c r="A50" i="6"/>
  <c r="E49" i="6"/>
  <c r="D49" i="6"/>
  <c r="C49" i="6"/>
  <c r="B49" i="6"/>
  <c r="A49" i="6"/>
  <c r="E48" i="6"/>
  <c r="D48" i="6"/>
  <c r="C48" i="6"/>
  <c r="B48" i="6"/>
  <c r="A48" i="6"/>
  <c r="E47" i="6"/>
  <c r="D47" i="6"/>
  <c r="C47" i="6"/>
  <c r="B47" i="6"/>
  <c r="A47" i="6"/>
  <c r="E46" i="6"/>
  <c r="D46" i="6"/>
  <c r="C46" i="6"/>
  <c r="B46" i="6"/>
  <c r="A46" i="6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B42" i="6"/>
  <c r="A42" i="6"/>
  <c r="E41" i="6"/>
  <c r="D41" i="6"/>
  <c r="C41" i="6"/>
  <c r="B41" i="6"/>
  <c r="A41" i="6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B38" i="6"/>
  <c r="A38" i="6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B35" i="6"/>
  <c r="A35" i="6"/>
  <c r="E34" i="6"/>
  <c r="D34" i="6"/>
  <c r="C34" i="6"/>
  <c r="B34" i="6"/>
  <c r="A34" i="6"/>
  <c r="E33" i="6"/>
  <c r="D33" i="6"/>
  <c r="C33" i="6"/>
  <c r="B33" i="6"/>
  <c r="A33" i="6"/>
  <c r="E32" i="6"/>
  <c r="D32" i="6"/>
  <c r="C32" i="6"/>
  <c r="B32" i="6"/>
  <c r="A32" i="6"/>
  <c r="E31" i="6"/>
  <c r="D31" i="6"/>
  <c r="C31" i="6"/>
  <c r="B31" i="6"/>
  <c r="A31" i="6"/>
  <c r="E30" i="6"/>
  <c r="D30" i="6"/>
  <c r="C30" i="6"/>
  <c r="B30" i="6"/>
  <c r="A30" i="6"/>
  <c r="E29" i="6"/>
  <c r="D29" i="6"/>
  <c r="C29" i="6"/>
  <c r="B29" i="6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B26" i="6"/>
  <c r="A26" i="6"/>
  <c r="E25" i="6"/>
  <c r="D25" i="6"/>
  <c r="C25" i="6"/>
  <c r="B25" i="6"/>
  <c r="A25" i="6"/>
  <c r="E24" i="6"/>
  <c r="D24" i="6"/>
  <c r="C24" i="6"/>
  <c r="B24" i="6"/>
  <c r="A24" i="6"/>
  <c r="E23" i="6"/>
  <c r="D23" i="6"/>
  <c r="C23" i="6"/>
  <c r="B23" i="6"/>
  <c r="A23" i="6"/>
  <c r="E22" i="6"/>
  <c r="D22" i="6"/>
  <c r="C22" i="6"/>
  <c r="B22" i="6"/>
  <c r="A22" i="6"/>
  <c r="E21" i="6"/>
  <c r="D21" i="6"/>
  <c r="C21" i="6"/>
  <c r="B21" i="6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B18" i="6"/>
  <c r="A18" i="6"/>
  <c r="E17" i="6"/>
  <c r="D17" i="6"/>
  <c r="C17" i="6"/>
  <c r="B17" i="6"/>
  <c r="A17" i="6"/>
  <c r="E16" i="6"/>
  <c r="D16" i="6"/>
  <c r="C16" i="6"/>
  <c r="B16" i="6"/>
  <c r="A16" i="6"/>
  <c r="E15" i="6"/>
  <c r="D15" i="6"/>
  <c r="C15" i="6"/>
  <c r="B15" i="6"/>
  <c r="A15" i="6"/>
  <c r="E14" i="6"/>
  <c r="F14" i="6" s="1"/>
  <c r="D14" i="6"/>
  <c r="C14" i="6"/>
  <c r="B14" i="6"/>
  <c r="A14" i="6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E6" i="6"/>
  <c r="D6" i="6"/>
  <c r="C6" i="6"/>
  <c r="B6" i="6"/>
  <c r="A6" i="6"/>
  <c r="E5" i="6"/>
  <c r="D5" i="6"/>
  <c r="C5" i="6"/>
  <c r="B5" i="6"/>
  <c r="A5" i="6"/>
  <c r="E75" i="5"/>
  <c r="D75" i="5"/>
  <c r="C75" i="5"/>
  <c r="B75" i="5"/>
  <c r="A75" i="5"/>
  <c r="E74" i="5"/>
  <c r="D74" i="5"/>
  <c r="C74" i="5"/>
  <c r="B74" i="5"/>
  <c r="A74" i="5"/>
  <c r="E73" i="5"/>
  <c r="D73" i="5"/>
  <c r="C73" i="5"/>
  <c r="B73" i="5"/>
  <c r="A73" i="5"/>
  <c r="E72" i="5"/>
  <c r="D72" i="5"/>
  <c r="C72" i="5"/>
  <c r="B72" i="5"/>
  <c r="A72" i="5"/>
  <c r="E71" i="5"/>
  <c r="D71" i="5"/>
  <c r="C71" i="5"/>
  <c r="B71" i="5"/>
  <c r="A71" i="5"/>
  <c r="E70" i="5"/>
  <c r="D70" i="5"/>
  <c r="C70" i="5"/>
  <c r="B70" i="5"/>
  <c r="A70" i="5"/>
  <c r="E69" i="5"/>
  <c r="D69" i="5"/>
  <c r="C69" i="5"/>
  <c r="B69" i="5"/>
  <c r="A69" i="5"/>
  <c r="E68" i="5"/>
  <c r="D68" i="5"/>
  <c r="C68" i="5"/>
  <c r="B68" i="5"/>
  <c r="A68" i="5"/>
  <c r="E67" i="5"/>
  <c r="D67" i="5"/>
  <c r="C67" i="5"/>
  <c r="B67" i="5"/>
  <c r="A67" i="5"/>
  <c r="E66" i="5"/>
  <c r="D66" i="5"/>
  <c r="C66" i="5"/>
  <c r="B66" i="5"/>
  <c r="A66" i="5"/>
  <c r="E65" i="5"/>
  <c r="D65" i="5"/>
  <c r="C65" i="5"/>
  <c r="B65" i="5"/>
  <c r="A65" i="5"/>
  <c r="E64" i="5"/>
  <c r="D64" i="5"/>
  <c r="C64" i="5"/>
  <c r="B64" i="5"/>
  <c r="A64" i="5"/>
  <c r="E63" i="5"/>
  <c r="D63" i="5"/>
  <c r="C63" i="5"/>
  <c r="B63" i="5"/>
  <c r="A63" i="5"/>
  <c r="E62" i="5"/>
  <c r="D62" i="5"/>
  <c r="C62" i="5"/>
  <c r="B62" i="5"/>
  <c r="A62" i="5"/>
  <c r="E61" i="5"/>
  <c r="D61" i="5"/>
  <c r="C61" i="5"/>
  <c r="B61" i="5"/>
  <c r="A61" i="5"/>
  <c r="E60" i="5"/>
  <c r="D60" i="5"/>
  <c r="C60" i="5"/>
  <c r="B60" i="5"/>
  <c r="A60" i="5"/>
  <c r="E59" i="5"/>
  <c r="D59" i="5"/>
  <c r="C59" i="5"/>
  <c r="B59" i="5"/>
  <c r="A59" i="5"/>
  <c r="E58" i="5"/>
  <c r="D58" i="5"/>
  <c r="C58" i="5"/>
  <c r="B58" i="5"/>
  <c r="A58" i="5"/>
  <c r="E57" i="5"/>
  <c r="D57" i="5"/>
  <c r="C57" i="5"/>
  <c r="B57" i="5"/>
  <c r="A57" i="5"/>
  <c r="E56" i="5"/>
  <c r="D56" i="5"/>
  <c r="C56" i="5"/>
  <c r="B56" i="5"/>
  <c r="A56" i="5"/>
  <c r="E55" i="5"/>
  <c r="D55" i="5"/>
  <c r="C55" i="5"/>
  <c r="B55" i="5"/>
  <c r="A55" i="5"/>
  <c r="E54" i="5"/>
  <c r="D54" i="5"/>
  <c r="C54" i="5"/>
  <c r="B54" i="5"/>
  <c r="A54" i="5"/>
  <c r="E53" i="5"/>
  <c r="D53" i="5"/>
  <c r="C53" i="5"/>
  <c r="B53" i="5"/>
  <c r="A53" i="5"/>
  <c r="E52" i="5"/>
  <c r="D52" i="5"/>
  <c r="C52" i="5"/>
  <c r="B52" i="5"/>
  <c r="A52" i="5"/>
  <c r="E51" i="5"/>
  <c r="D51" i="5"/>
  <c r="C51" i="5"/>
  <c r="B51" i="5"/>
  <c r="A51" i="5"/>
  <c r="E50" i="5"/>
  <c r="D50" i="5"/>
  <c r="C50" i="5"/>
  <c r="B50" i="5"/>
  <c r="A50" i="5"/>
  <c r="E49" i="5"/>
  <c r="D49" i="5"/>
  <c r="C49" i="5"/>
  <c r="B49" i="5"/>
  <c r="A49" i="5"/>
  <c r="E48" i="5"/>
  <c r="D48" i="5"/>
  <c r="C48" i="5"/>
  <c r="B48" i="5"/>
  <c r="A48" i="5"/>
  <c r="E47" i="5"/>
  <c r="D47" i="5"/>
  <c r="C47" i="5"/>
  <c r="B47" i="5"/>
  <c r="A47" i="5"/>
  <c r="E46" i="5"/>
  <c r="D46" i="5"/>
  <c r="C46" i="5"/>
  <c r="B46" i="5"/>
  <c r="A46" i="5"/>
  <c r="E45" i="5"/>
  <c r="D45" i="5"/>
  <c r="C45" i="5"/>
  <c r="B45" i="5"/>
  <c r="A45" i="5"/>
  <c r="E44" i="5"/>
  <c r="D44" i="5"/>
  <c r="C44" i="5"/>
  <c r="B44" i="5"/>
  <c r="A44" i="5"/>
  <c r="E43" i="5"/>
  <c r="D43" i="5"/>
  <c r="C43" i="5"/>
  <c r="B43" i="5"/>
  <c r="A43" i="5"/>
  <c r="E42" i="5"/>
  <c r="D42" i="5"/>
  <c r="C42" i="5"/>
  <c r="B42" i="5"/>
  <c r="A42" i="5"/>
  <c r="E41" i="5"/>
  <c r="D41" i="5"/>
  <c r="C41" i="5"/>
  <c r="B41" i="5"/>
  <c r="A41" i="5"/>
  <c r="E40" i="5"/>
  <c r="D40" i="5"/>
  <c r="C40" i="5"/>
  <c r="B40" i="5"/>
  <c r="A40" i="5"/>
  <c r="E39" i="5"/>
  <c r="D39" i="5"/>
  <c r="C39" i="5"/>
  <c r="B39" i="5"/>
  <c r="A39" i="5"/>
  <c r="E38" i="5"/>
  <c r="D38" i="5"/>
  <c r="C38" i="5"/>
  <c r="B38" i="5"/>
  <c r="A38" i="5"/>
  <c r="E37" i="5"/>
  <c r="D37" i="5"/>
  <c r="C37" i="5"/>
  <c r="B37" i="5"/>
  <c r="A37" i="5"/>
  <c r="E36" i="5"/>
  <c r="D36" i="5"/>
  <c r="C36" i="5"/>
  <c r="B36" i="5"/>
  <c r="A36" i="5"/>
  <c r="E35" i="5"/>
  <c r="D35" i="5"/>
  <c r="C35" i="5"/>
  <c r="B35" i="5"/>
  <c r="A35" i="5"/>
  <c r="E34" i="5"/>
  <c r="D34" i="5"/>
  <c r="C34" i="5"/>
  <c r="B34" i="5"/>
  <c r="A34" i="5"/>
  <c r="E33" i="5"/>
  <c r="D33" i="5"/>
  <c r="C33" i="5"/>
  <c r="B33" i="5"/>
  <c r="A33" i="5"/>
  <c r="E32" i="5"/>
  <c r="D32" i="5"/>
  <c r="C32" i="5"/>
  <c r="B32" i="5"/>
  <c r="A32" i="5"/>
  <c r="E31" i="5"/>
  <c r="D31" i="5"/>
  <c r="C31" i="5"/>
  <c r="B31" i="5"/>
  <c r="A31" i="5"/>
  <c r="E30" i="5"/>
  <c r="D30" i="5"/>
  <c r="C30" i="5"/>
  <c r="B30" i="5"/>
  <c r="A30" i="5"/>
  <c r="E29" i="5"/>
  <c r="D29" i="5"/>
  <c r="C29" i="5"/>
  <c r="B29" i="5"/>
  <c r="A29" i="5"/>
  <c r="E28" i="5"/>
  <c r="D28" i="5"/>
  <c r="C28" i="5"/>
  <c r="B28" i="5"/>
  <c r="A28" i="5"/>
  <c r="E27" i="5"/>
  <c r="D27" i="5"/>
  <c r="C27" i="5"/>
  <c r="B27" i="5"/>
  <c r="A27" i="5"/>
  <c r="E26" i="5"/>
  <c r="D26" i="5"/>
  <c r="C26" i="5"/>
  <c r="B26" i="5"/>
  <c r="A26" i="5"/>
  <c r="E25" i="5"/>
  <c r="D25" i="5"/>
  <c r="C25" i="5"/>
  <c r="B25" i="5"/>
  <c r="A25" i="5"/>
  <c r="E24" i="5"/>
  <c r="D24" i="5"/>
  <c r="C24" i="5"/>
  <c r="B24" i="5"/>
  <c r="A24" i="5"/>
  <c r="E23" i="5"/>
  <c r="D23" i="5"/>
  <c r="C23" i="5"/>
  <c r="B23" i="5"/>
  <c r="A23" i="5"/>
  <c r="E22" i="5"/>
  <c r="D22" i="5"/>
  <c r="C22" i="5"/>
  <c r="B22" i="5"/>
  <c r="A22" i="5"/>
  <c r="E21" i="5"/>
  <c r="D21" i="5"/>
  <c r="C21" i="5"/>
  <c r="B21" i="5"/>
  <c r="A21" i="5"/>
  <c r="E20" i="5"/>
  <c r="D20" i="5"/>
  <c r="C20" i="5"/>
  <c r="B20" i="5"/>
  <c r="A20" i="5"/>
  <c r="E19" i="5"/>
  <c r="D19" i="5"/>
  <c r="C19" i="5"/>
  <c r="B19" i="5"/>
  <c r="A19" i="5"/>
  <c r="E18" i="5"/>
  <c r="D18" i="5"/>
  <c r="C18" i="5"/>
  <c r="B18" i="5"/>
  <c r="A18" i="5"/>
  <c r="E17" i="5"/>
  <c r="D17" i="5"/>
  <c r="C17" i="5"/>
  <c r="B17" i="5"/>
  <c r="A17" i="5"/>
  <c r="E16" i="5"/>
  <c r="D16" i="5"/>
  <c r="C16" i="5"/>
  <c r="B16" i="5"/>
  <c r="A16" i="5"/>
  <c r="E15" i="5"/>
  <c r="D15" i="5"/>
  <c r="C15" i="5"/>
  <c r="B15" i="5"/>
  <c r="A15" i="5"/>
  <c r="E14" i="5"/>
  <c r="D14" i="5"/>
  <c r="C14" i="5"/>
  <c r="B14" i="5"/>
  <c r="A14" i="5"/>
  <c r="E13" i="5"/>
  <c r="D13" i="5"/>
  <c r="C13" i="5"/>
  <c r="B13" i="5"/>
  <c r="A13" i="5"/>
  <c r="E12" i="5"/>
  <c r="D12" i="5"/>
  <c r="C12" i="5"/>
  <c r="B12" i="5"/>
  <c r="A12" i="5"/>
  <c r="E11" i="5"/>
  <c r="D11" i="5"/>
  <c r="C11" i="5"/>
  <c r="B11" i="5"/>
  <c r="A11" i="5"/>
  <c r="E10" i="5"/>
  <c r="D10" i="5"/>
  <c r="C10" i="5"/>
  <c r="B10" i="5"/>
  <c r="A10" i="5"/>
  <c r="E9" i="5"/>
  <c r="D9" i="5"/>
  <c r="C9" i="5"/>
  <c r="B9" i="5"/>
  <c r="A9" i="5"/>
  <c r="E8" i="5"/>
  <c r="D8" i="5"/>
  <c r="C8" i="5"/>
  <c r="B8" i="5"/>
  <c r="A8" i="5"/>
  <c r="E7" i="5"/>
  <c r="D7" i="5"/>
  <c r="C7" i="5"/>
  <c r="B7" i="5"/>
  <c r="A7" i="5"/>
  <c r="E6" i="5"/>
  <c r="D6" i="5"/>
  <c r="C6" i="5"/>
  <c r="B6" i="5"/>
  <c r="A6" i="5"/>
  <c r="E5" i="5"/>
  <c r="D5" i="5"/>
  <c r="C5" i="5"/>
  <c r="B5" i="5"/>
  <c r="A5" i="5"/>
  <c r="E75" i="4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70" i="4"/>
  <c r="D70" i="4"/>
  <c r="C70" i="4"/>
  <c r="B70" i="4"/>
  <c r="A70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E55" i="4"/>
  <c r="D55" i="4"/>
  <c r="C55" i="4"/>
  <c r="B55" i="4"/>
  <c r="A55" i="4"/>
  <c r="E54" i="4"/>
  <c r="D54" i="4"/>
  <c r="C54" i="4"/>
  <c r="B54" i="4"/>
  <c r="A54" i="4"/>
  <c r="E53" i="4"/>
  <c r="D53" i="4"/>
  <c r="C53" i="4"/>
  <c r="B53" i="4"/>
  <c r="A53" i="4"/>
  <c r="E52" i="4"/>
  <c r="D52" i="4"/>
  <c r="C52" i="4"/>
  <c r="B52" i="4"/>
  <c r="A52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AM72" i="3"/>
  <c r="AK72" i="3"/>
  <c r="AG72" i="3"/>
  <c r="AF72" i="3"/>
  <c r="AE72" i="3"/>
  <c r="AD72" i="3"/>
  <c r="AC72" i="3"/>
  <c r="AA72" i="3"/>
  <c r="Y72" i="3"/>
  <c r="W72" i="3"/>
  <c r="U72" i="3"/>
  <c r="Q72" i="3"/>
  <c r="AM71" i="3"/>
  <c r="AK71" i="3"/>
  <c r="AJ71" i="3"/>
  <c r="AL71" i="3" s="1"/>
  <c r="AG71" i="3"/>
  <c r="AF71" i="3"/>
  <c r="AE71" i="3"/>
  <c r="AD71" i="3"/>
  <c r="AC71" i="3"/>
  <c r="AA71" i="3"/>
  <c r="Y71" i="3"/>
  <c r="W71" i="3"/>
  <c r="U71" i="3"/>
  <c r="Q71" i="3"/>
  <c r="AM70" i="3"/>
  <c r="AK70" i="3"/>
  <c r="AJ70" i="3"/>
  <c r="AN70" i="3" s="1"/>
  <c r="AG70" i="3"/>
  <c r="AF70" i="3"/>
  <c r="AE70" i="3"/>
  <c r="AD70" i="3"/>
  <c r="AC70" i="3"/>
  <c r="AA70" i="3"/>
  <c r="Y70" i="3"/>
  <c r="W70" i="3"/>
  <c r="U70" i="3"/>
  <c r="Q70" i="3"/>
  <c r="AM69" i="3"/>
  <c r="AK69" i="3"/>
  <c r="AG69" i="3"/>
  <c r="AF69" i="3"/>
  <c r="AJ69" i="3" s="1"/>
  <c r="AE69" i="3"/>
  <c r="AD69" i="3"/>
  <c r="AC69" i="3"/>
  <c r="AA69" i="3"/>
  <c r="Y69" i="3"/>
  <c r="W69" i="3"/>
  <c r="U69" i="3"/>
  <c r="Q69" i="3"/>
  <c r="AM68" i="3"/>
  <c r="AK68" i="3"/>
  <c r="AG68" i="3"/>
  <c r="AF68" i="3"/>
  <c r="AJ68" i="3" s="1"/>
  <c r="AE68" i="3"/>
  <c r="AD68" i="3"/>
  <c r="AC68" i="3"/>
  <c r="AA68" i="3"/>
  <c r="Y68" i="3"/>
  <c r="W68" i="3"/>
  <c r="U68" i="3"/>
  <c r="Q68" i="3"/>
  <c r="AM67" i="3"/>
  <c r="AK67" i="3"/>
  <c r="AG67" i="3"/>
  <c r="AF67" i="3"/>
  <c r="AE67" i="3"/>
  <c r="AD67" i="3"/>
  <c r="AJ67" i="3" s="1"/>
  <c r="AC67" i="3"/>
  <c r="AA67" i="3"/>
  <c r="Y67" i="3"/>
  <c r="W67" i="3"/>
  <c r="U67" i="3"/>
  <c r="Q67" i="3"/>
  <c r="AM66" i="3"/>
  <c r="AK66" i="3"/>
  <c r="AG66" i="3"/>
  <c r="AF66" i="3"/>
  <c r="AE66" i="3"/>
  <c r="AD66" i="3"/>
  <c r="AJ66" i="3" s="1"/>
  <c r="AC66" i="3"/>
  <c r="AA66" i="3"/>
  <c r="Y66" i="3"/>
  <c r="W66" i="3"/>
  <c r="U66" i="3"/>
  <c r="S66" i="3"/>
  <c r="Q66" i="3"/>
  <c r="O66" i="3"/>
  <c r="AM65" i="3"/>
  <c r="AK65" i="3"/>
  <c r="AG65" i="3"/>
  <c r="AF65" i="3"/>
  <c r="AE65" i="3"/>
  <c r="AD65" i="3"/>
  <c r="AJ65" i="3" s="1"/>
  <c r="AC65" i="3"/>
  <c r="AA65" i="3"/>
  <c r="Y65" i="3"/>
  <c r="W65" i="3"/>
  <c r="U65" i="3"/>
  <c r="S65" i="3"/>
  <c r="Q65" i="3"/>
  <c r="O65" i="3"/>
  <c r="AM64" i="3"/>
  <c r="AK64" i="3"/>
  <c r="AG64" i="3"/>
  <c r="AF64" i="3"/>
  <c r="AJ64" i="3" s="1"/>
  <c r="AE64" i="3"/>
  <c r="AD64" i="3"/>
  <c r="AC64" i="3"/>
  <c r="AA64" i="3"/>
  <c r="Y64" i="3"/>
  <c r="W64" i="3"/>
  <c r="U64" i="3"/>
  <c r="S64" i="3"/>
  <c r="Q64" i="3"/>
  <c r="O64" i="3"/>
  <c r="AM63" i="3"/>
  <c r="AK63" i="3"/>
  <c r="AG63" i="3"/>
  <c r="AF63" i="3"/>
  <c r="AJ63" i="3" s="1"/>
  <c r="AE63" i="3"/>
  <c r="AD63" i="3"/>
  <c r="AC63" i="3"/>
  <c r="AA63" i="3"/>
  <c r="Y63" i="3"/>
  <c r="W63" i="3"/>
  <c r="U63" i="3"/>
  <c r="S63" i="3"/>
  <c r="Q63" i="3"/>
  <c r="O63" i="3"/>
  <c r="AM62" i="3"/>
  <c r="AK62" i="3"/>
  <c r="AJ62" i="3"/>
  <c r="AN62" i="3" s="1"/>
  <c r="AG62" i="3"/>
  <c r="AF62" i="3"/>
  <c r="AE62" i="3"/>
  <c r="AD62" i="3"/>
  <c r="AC62" i="3"/>
  <c r="AA62" i="3"/>
  <c r="Y62" i="3"/>
  <c r="W62" i="3"/>
  <c r="U62" i="3"/>
  <c r="Q62" i="3"/>
  <c r="AM61" i="3"/>
  <c r="AK61" i="3"/>
  <c r="AG61" i="3"/>
  <c r="AF61" i="3"/>
  <c r="AE61" i="3"/>
  <c r="AD61" i="3"/>
  <c r="AJ61" i="3" s="1"/>
  <c r="AC61" i="3"/>
  <c r="AA61" i="3"/>
  <c r="Y61" i="3"/>
  <c r="W61" i="3"/>
  <c r="U61" i="3"/>
  <c r="Q61" i="3"/>
  <c r="AM60" i="3"/>
  <c r="AK60" i="3"/>
  <c r="AG60" i="3"/>
  <c r="AF60" i="3"/>
  <c r="AE60" i="3"/>
  <c r="AD60" i="3"/>
  <c r="AJ60" i="3" s="1"/>
  <c r="AC60" i="3"/>
  <c r="AA60" i="3"/>
  <c r="Y60" i="3"/>
  <c r="W60" i="3"/>
  <c r="U60" i="3"/>
  <c r="Q60" i="3"/>
  <c r="AM59" i="3"/>
  <c r="AK59" i="3"/>
  <c r="AG59" i="3"/>
  <c r="AF59" i="3"/>
  <c r="AE59" i="3"/>
  <c r="AD59" i="3"/>
  <c r="AJ59" i="3" s="1"/>
  <c r="AC59" i="3"/>
  <c r="AA59" i="3"/>
  <c r="Y59" i="3"/>
  <c r="W59" i="3"/>
  <c r="U59" i="3"/>
  <c r="S59" i="3"/>
  <c r="Q59" i="3"/>
  <c r="O59" i="3"/>
  <c r="AM58" i="3"/>
  <c r="AK58" i="3"/>
  <c r="AG58" i="3"/>
  <c r="AF58" i="3"/>
  <c r="AE58" i="3"/>
  <c r="AD58" i="3"/>
  <c r="AJ58" i="3" s="1"/>
  <c r="AC58" i="3"/>
  <c r="AA58" i="3"/>
  <c r="Y58" i="3"/>
  <c r="W58" i="3"/>
  <c r="U58" i="3"/>
  <c r="Q58" i="3"/>
  <c r="AM57" i="3"/>
  <c r="AK57" i="3"/>
  <c r="AG57" i="3"/>
  <c r="AF57" i="3"/>
  <c r="AE57" i="3"/>
  <c r="AD57" i="3"/>
  <c r="AJ57" i="3" s="1"/>
  <c r="AC57" i="3"/>
  <c r="AA57" i="3"/>
  <c r="Y57" i="3"/>
  <c r="W57" i="3"/>
  <c r="U57" i="3"/>
  <c r="S57" i="3"/>
  <c r="Q57" i="3"/>
  <c r="O57" i="3"/>
  <c r="AM56" i="3"/>
  <c r="AK56" i="3"/>
  <c r="AG56" i="3"/>
  <c r="AF56" i="3"/>
  <c r="AE56" i="3"/>
  <c r="AD56" i="3"/>
  <c r="AJ56" i="3" s="1"/>
  <c r="AC56" i="3"/>
  <c r="AA56" i="3"/>
  <c r="Y56" i="3"/>
  <c r="W56" i="3"/>
  <c r="U56" i="3"/>
  <c r="S56" i="3"/>
  <c r="Q56" i="3"/>
  <c r="O56" i="3"/>
  <c r="AM55" i="3"/>
  <c r="AK55" i="3"/>
  <c r="AG55" i="3"/>
  <c r="AF55" i="3"/>
  <c r="AE55" i="3"/>
  <c r="AD55" i="3"/>
  <c r="AJ55" i="3" s="1"/>
  <c r="AC55" i="3"/>
  <c r="AA55" i="3"/>
  <c r="Y55" i="3"/>
  <c r="W55" i="3"/>
  <c r="U55" i="3"/>
  <c r="Q55" i="3"/>
  <c r="AM54" i="3"/>
  <c r="AK54" i="3"/>
  <c r="AG54" i="3"/>
  <c r="AF54" i="3"/>
  <c r="AE54" i="3"/>
  <c r="AD54" i="3"/>
  <c r="AJ54" i="3" s="1"/>
  <c r="AC54" i="3"/>
  <c r="AA54" i="3"/>
  <c r="Y54" i="3"/>
  <c r="W54" i="3"/>
  <c r="U54" i="3"/>
  <c r="S54" i="3"/>
  <c r="Q54" i="3"/>
  <c r="O54" i="3"/>
  <c r="AM53" i="3"/>
  <c r="AK53" i="3"/>
  <c r="AG53" i="3"/>
  <c r="AF53" i="3"/>
  <c r="AE53" i="3"/>
  <c r="AD53" i="3"/>
  <c r="AJ53" i="3" s="1"/>
  <c r="AC53" i="3"/>
  <c r="AA53" i="3"/>
  <c r="Y53" i="3"/>
  <c r="W53" i="3"/>
  <c r="U53" i="3"/>
  <c r="S53" i="3"/>
  <c r="Q53" i="3"/>
  <c r="O53" i="3"/>
  <c r="AM52" i="3"/>
  <c r="AK52" i="3"/>
  <c r="AJ52" i="3"/>
  <c r="AN52" i="3" s="1"/>
  <c r="AG52" i="3"/>
  <c r="AF52" i="3"/>
  <c r="AE52" i="3"/>
  <c r="AD52" i="3"/>
  <c r="AC52" i="3"/>
  <c r="AA52" i="3"/>
  <c r="Y52" i="3"/>
  <c r="W52" i="3"/>
  <c r="U52" i="3"/>
  <c r="S52" i="3"/>
  <c r="Q52" i="3"/>
  <c r="O52" i="3"/>
  <c r="AM51" i="3"/>
  <c r="AK51" i="3"/>
  <c r="AJ51" i="3"/>
  <c r="AN51" i="3" s="1"/>
  <c r="AG51" i="3"/>
  <c r="AF51" i="3"/>
  <c r="AE51" i="3"/>
  <c r="AD51" i="3"/>
  <c r="AC51" i="3"/>
  <c r="AA51" i="3"/>
  <c r="Y51" i="3"/>
  <c r="W51" i="3"/>
  <c r="U51" i="3"/>
  <c r="S51" i="3"/>
  <c r="Q51" i="3"/>
  <c r="O51" i="3"/>
  <c r="AM50" i="3"/>
  <c r="AK50" i="3"/>
  <c r="AJ50" i="3"/>
  <c r="AN50" i="3" s="1"/>
  <c r="AG50" i="3"/>
  <c r="AF50" i="3"/>
  <c r="AE50" i="3"/>
  <c r="AD50" i="3"/>
  <c r="AC50" i="3"/>
  <c r="AA50" i="3"/>
  <c r="Y50" i="3"/>
  <c r="W50" i="3"/>
  <c r="U50" i="3"/>
  <c r="Q50" i="3"/>
  <c r="AM49" i="3"/>
  <c r="AK49" i="3"/>
  <c r="AJ49" i="3"/>
  <c r="AN49" i="3" s="1"/>
  <c r="AG49" i="3"/>
  <c r="AF49" i="3"/>
  <c r="AE49" i="3"/>
  <c r="AD49" i="3"/>
  <c r="AC49" i="3"/>
  <c r="AA49" i="3"/>
  <c r="Y49" i="3"/>
  <c r="W49" i="3"/>
  <c r="U49" i="3"/>
  <c r="S49" i="3"/>
  <c r="Q49" i="3"/>
  <c r="O49" i="3"/>
  <c r="AM48" i="3"/>
  <c r="AK48" i="3"/>
  <c r="AJ48" i="3"/>
  <c r="AN48" i="3" s="1"/>
  <c r="AG48" i="3"/>
  <c r="AF48" i="3"/>
  <c r="AE48" i="3"/>
  <c r="AD48" i="3"/>
  <c r="AC48" i="3"/>
  <c r="AA48" i="3"/>
  <c r="Y48" i="3"/>
  <c r="W48" i="3"/>
  <c r="U48" i="3"/>
  <c r="Q48" i="3"/>
  <c r="AM47" i="3"/>
  <c r="AK47" i="3"/>
  <c r="AJ47" i="3"/>
  <c r="AN47" i="3" s="1"/>
  <c r="AG47" i="3"/>
  <c r="AF47" i="3"/>
  <c r="AE47" i="3"/>
  <c r="AD47" i="3"/>
  <c r="AC47" i="3"/>
  <c r="AA47" i="3"/>
  <c r="Y47" i="3"/>
  <c r="W47" i="3"/>
  <c r="U47" i="3"/>
  <c r="Q47" i="3"/>
  <c r="AM46" i="3"/>
  <c r="AK46" i="3"/>
  <c r="AJ46" i="3"/>
  <c r="AG46" i="3"/>
  <c r="AF46" i="3"/>
  <c r="AE46" i="3"/>
  <c r="AD46" i="3"/>
  <c r="AC46" i="3"/>
  <c r="AA46" i="3"/>
  <c r="Y46" i="3"/>
  <c r="W46" i="3"/>
  <c r="U46" i="3"/>
  <c r="Q46" i="3"/>
  <c r="AM45" i="3"/>
  <c r="AK45" i="3"/>
  <c r="AG45" i="3"/>
  <c r="AF45" i="3"/>
  <c r="AE45" i="3"/>
  <c r="AD45" i="3"/>
  <c r="AJ45" i="3" s="1"/>
  <c r="AC45" i="3"/>
  <c r="AA45" i="3"/>
  <c r="Y45" i="3"/>
  <c r="W45" i="3"/>
  <c r="U45" i="3"/>
  <c r="Q45" i="3"/>
  <c r="AM44" i="3"/>
  <c r="AK44" i="3"/>
  <c r="AG44" i="3"/>
  <c r="AF44" i="3"/>
  <c r="AE44" i="3"/>
  <c r="AD44" i="3"/>
  <c r="AC44" i="3"/>
  <c r="AA44" i="3"/>
  <c r="Y44" i="3"/>
  <c r="W44" i="3"/>
  <c r="U44" i="3"/>
  <c r="Q44" i="3"/>
  <c r="AM43" i="3"/>
  <c r="AK43" i="3"/>
  <c r="AG43" i="3"/>
  <c r="AF43" i="3"/>
  <c r="AE43" i="3"/>
  <c r="AD43" i="3"/>
  <c r="AJ43" i="3" s="1"/>
  <c r="AC43" i="3"/>
  <c r="AA43" i="3"/>
  <c r="Y43" i="3"/>
  <c r="W43" i="3"/>
  <c r="U43" i="3"/>
  <c r="Q43" i="3"/>
  <c r="AM42" i="3"/>
  <c r="AK42" i="3"/>
  <c r="AG42" i="3"/>
  <c r="AF42" i="3"/>
  <c r="AE42" i="3"/>
  <c r="AD42" i="3"/>
  <c r="AJ42" i="3" s="1"/>
  <c r="AL42" i="3" s="1"/>
  <c r="AC42" i="3"/>
  <c r="AA42" i="3"/>
  <c r="Y42" i="3"/>
  <c r="W42" i="3"/>
  <c r="U42" i="3"/>
  <c r="Q42" i="3"/>
  <c r="AM41" i="3"/>
  <c r="AK41" i="3"/>
  <c r="AJ41" i="3"/>
  <c r="AN41" i="3" s="1"/>
  <c r="AG41" i="3"/>
  <c r="AF41" i="3"/>
  <c r="AE41" i="3"/>
  <c r="AD41" i="3"/>
  <c r="AC41" i="3"/>
  <c r="AA41" i="3"/>
  <c r="Y41" i="3"/>
  <c r="W41" i="3"/>
  <c r="U41" i="3"/>
  <c r="Q41" i="3"/>
  <c r="AM40" i="3"/>
  <c r="AK40" i="3"/>
  <c r="AJ40" i="3"/>
  <c r="AN40" i="3" s="1"/>
  <c r="AG40" i="3"/>
  <c r="AF40" i="3"/>
  <c r="AE40" i="3"/>
  <c r="AD40" i="3"/>
  <c r="AC40" i="3"/>
  <c r="AA40" i="3"/>
  <c r="Y40" i="3"/>
  <c r="W40" i="3"/>
  <c r="U40" i="3"/>
  <c r="Q40" i="3"/>
  <c r="AM39" i="3"/>
  <c r="AK39" i="3"/>
  <c r="AJ39" i="3"/>
  <c r="AG39" i="3"/>
  <c r="AF39" i="3"/>
  <c r="AE39" i="3"/>
  <c r="AD39" i="3"/>
  <c r="AC39" i="3"/>
  <c r="AA39" i="3"/>
  <c r="Y39" i="3"/>
  <c r="W39" i="3"/>
  <c r="U39" i="3"/>
  <c r="Q39" i="3"/>
  <c r="AM38" i="3"/>
  <c r="AK38" i="3"/>
  <c r="AJ38" i="3"/>
  <c r="AG38" i="3"/>
  <c r="AF38" i="3"/>
  <c r="AE38" i="3"/>
  <c r="AD38" i="3"/>
  <c r="AC38" i="3"/>
  <c r="AA38" i="3"/>
  <c r="Y38" i="3"/>
  <c r="W38" i="3"/>
  <c r="U38" i="3"/>
  <c r="Q38" i="3"/>
  <c r="AM37" i="3"/>
  <c r="AK37" i="3"/>
  <c r="AG37" i="3"/>
  <c r="AF37" i="3"/>
  <c r="AE37" i="3"/>
  <c r="AD37" i="3"/>
  <c r="AC37" i="3"/>
  <c r="AA37" i="3"/>
  <c r="Y37" i="3"/>
  <c r="W37" i="3"/>
  <c r="U37" i="3"/>
  <c r="Q37" i="3"/>
  <c r="AM36" i="3"/>
  <c r="AK36" i="3"/>
  <c r="AG36" i="3"/>
  <c r="AF36" i="3"/>
  <c r="AE36" i="3"/>
  <c r="AD36" i="3"/>
  <c r="AC36" i="3"/>
  <c r="AA36" i="3"/>
  <c r="Y36" i="3"/>
  <c r="W36" i="3"/>
  <c r="U36" i="3"/>
  <c r="S36" i="3"/>
  <c r="Q36" i="3"/>
  <c r="O36" i="3"/>
  <c r="AM35" i="3"/>
  <c r="AK35" i="3"/>
  <c r="AG35" i="3"/>
  <c r="AF35" i="3"/>
  <c r="AE35" i="3"/>
  <c r="AD35" i="3"/>
  <c r="AC35" i="3"/>
  <c r="AA35" i="3"/>
  <c r="Y35" i="3"/>
  <c r="W35" i="3"/>
  <c r="U35" i="3"/>
  <c r="S35" i="3"/>
  <c r="Q35" i="3"/>
  <c r="O35" i="3"/>
  <c r="AM34" i="3"/>
  <c r="AK34" i="3"/>
  <c r="AJ34" i="3"/>
  <c r="AG34" i="3"/>
  <c r="AF34" i="3"/>
  <c r="AE34" i="3"/>
  <c r="AD34" i="3"/>
  <c r="AC34" i="3"/>
  <c r="AA34" i="3"/>
  <c r="Y34" i="3"/>
  <c r="W34" i="3"/>
  <c r="U34" i="3"/>
  <c r="Q34" i="3"/>
  <c r="AM33" i="3"/>
  <c r="AK33" i="3"/>
  <c r="AG33" i="3"/>
  <c r="AF33" i="3"/>
  <c r="AE33" i="3"/>
  <c r="AD33" i="3"/>
  <c r="AJ33" i="3" s="1"/>
  <c r="AC33" i="3"/>
  <c r="AA33" i="3"/>
  <c r="Y33" i="3"/>
  <c r="W33" i="3"/>
  <c r="U33" i="3"/>
  <c r="Q33" i="3"/>
  <c r="AM32" i="3"/>
  <c r="AK32" i="3"/>
  <c r="AG32" i="3"/>
  <c r="AF32" i="3"/>
  <c r="AE32" i="3"/>
  <c r="AD32" i="3"/>
  <c r="AC32" i="3"/>
  <c r="AA32" i="3"/>
  <c r="Y32" i="3"/>
  <c r="W32" i="3"/>
  <c r="U32" i="3"/>
  <c r="S32" i="3"/>
  <c r="Q32" i="3"/>
  <c r="O32" i="3"/>
  <c r="AM31" i="3"/>
  <c r="AK31" i="3"/>
  <c r="AG31" i="3"/>
  <c r="AF31" i="3"/>
  <c r="AE31" i="3"/>
  <c r="AD31" i="3"/>
  <c r="AJ31" i="3" s="1"/>
  <c r="AC31" i="3"/>
  <c r="AA31" i="3"/>
  <c r="Y31" i="3"/>
  <c r="W31" i="3"/>
  <c r="S31" i="3"/>
  <c r="O31" i="3"/>
  <c r="AM30" i="3"/>
  <c r="AK30" i="3"/>
  <c r="AG30" i="3"/>
  <c r="AF30" i="3"/>
  <c r="AE30" i="3"/>
  <c r="AD30" i="3"/>
  <c r="AJ30" i="3" s="1"/>
  <c r="AL30" i="3" s="1"/>
  <c r="AC30" i="3"/>
  <c r="AA30" i="3"/>
  <c r="Y30" i="3"/>
  <c r="W30" i="3"/>
  <c r="S30" i="3"/>
  <c r="O30" i="3"/>
  <c r="AM29" i="3"/>
  <c r="AK29" i="3"/>
  <c r="AG29" i="3"/>
  <c r="AF29" i="3"/>
  <c r="AE29" i="3"/>
  <c r="AD29" i="3"/>
  <c r="AJ29" i="3" s="1"/>
  <c r="AN29" i="3" s="1"/>
  <c r="AC29" i="3"/>
  <c r="AA29" i="3"/>
  <c r="Y29" i="3"/>
  <c r="W29" i="3"/>
  <c r="S29" i="3"/>
  <c r="O29" i="3"/>
  <c r="AM28" i="3"/>
  <c r="AK28" i="3"/>
  <c r="AG28" i="3"/>
  <c r="AF28" i="3"/>
  <c r="AE28" i="3"/>
  <c r="AD28" i="3"/>
  <c r="AJ28" i="3" s="1"/>
  <c r="AL28" i="3" s="1"/>
  <c r="AC28" i="3"/>
  <c r="AA28" i="3"/>
  <c r="Y28" i="3"/>
  <c r="W28" i="3"/>
  <c r="S28" i="3"/>
  <c r="O28" i="3"/>
  <c r="AM27" i="3"/>
  <c r="AK27" i="3"/>
  <c r="AJ27" i="3"/>
  <c r="AG27" i="3"/>
  <c r="AF27" i="3"/>
  <c r="AE27" i="3"/>
  <c r="AD27" i="3"/>
  <c r="AC27" i="3"/>
  <c r="AA27" i="3"/>
  <c r="Y27" i="3"/>
  <c r="W27" i="3"/>
  <c r="S27" i="3"/>
  <c r="O27" i="3"/>
  <c r="AM26" i="3"/>
  <c r="AK26" i="3"/>
  <c r="AG26" i="3"/>
  <c r="AF26" i="3"/>
  <c r="AJ26" i="3" s="1"/>
  <c r="AE26" i="3"/>
  <c r="AD26" i="3"/>
  <c r="AC26" i="3"/>
  <c r="AA26" i="3"/>
  <c r="Y26" i="3"/>
  <c r="W26" i="3"/>
  <c r="S26" i="3"/>
  <c r="O26" i="3"/>
  <c r="AM25" i="3"/>
  <c r="AK25" i="3"/>
  <c r="AG25" i="3"/>
  <c r="AF25" i="3"/>
  <c r="AJ25" i="3" s="1"/>
  <c r="AE25" i="3"/>
  <c r="AD25" i="3"/>
  <c r="AC25" i="3"/>
  <c r="AA25" i="3"/>
  <c r="Y25" i="3"/>
  <c r="W25" i="3"/>
  <c r="S25" i="3"/>
  <c r="O25" i="3"/>
  <c r="AM24" i="3"/>
  <c r="AK24" i="3"/>
  <c r="AG24" i="3"/>
  <c r="AF24" i="3"/>
  <c r="AE24" i="3"/>
  <c r="AD24" i="3"/>
  <c r="AJ24" i="3" s="1"/>
  <c r="AC24" i="3"/>
  <c r="AA24" i="3"/>
  <c r="Y24" i="3"/>
  <c r="W24" i="3"/>
  <c r="AM23" i="3"/>
  <c r="AK23" i="3"/>
  <c r="AG23" i="3"/>
  <c r="AF23" i="3"/>
  <c r="AE23" i="3"/>
  <c r="AD23" i="3"/>
  <c r="AJ23" i="3" s="1"/>
  <c r="AN23" i="3" s="1"/>
  <c r="AC23" i="3"/>
  <c r="AA23" i="3"/>
  <c r="Y23" i="3"/>
  <c r="W23" i="3"/>
  <c r="AM22" i="3"/>
  <c r="AK22" i="3"/>
  <c r="AJ22" i="3"/>
  <c r="AN22" i="3" s="1"/>
  <c r="AG22" i="3"/>
  <c r="AF22" i="3"/>
  <c r="AE22" i="3"/>
  <c r="AD22" i="3"/>
  <c r="AC22" i="3"/>
  <c r="AA22" i="3"/>
  <c r="Y22" i="3"/>
  <c r="W22" i="3"/>
  <c r="AM21" i="3"/>
  <c r="AK21" i="3"/>
  <c r="AG21" i="3"/>
  <c r="AF21" i="3"/>
  <c r="AE21" i="3"/>
  <c r="AD21" i="3"/>
  <c r="AJ21" i="3" s="1"/>
  <c r="AL21" i="3" s="1"/>
  <c r="AC21" i="3"/>
  <c r="AA21" i="3"/>
  <c r="Y21" i="3"/>
  <c r="W21" i="3"/>
  <c r="AM20" i="3"/>
  <c r="AK20" i="3"/>
  <c r="AG20" i="3"/>
  <c r="AF20" i="3"/>
  <c r="AE20" i="3"/>
  <c r="AD20" i="3"/>
  <c r="AJ20" i="3" s="1"/>
  <c r="AC20" i="3"/>
  <c r="AA20" i="3"/>
  <c r="Y20" i="3"/>
  <c r="W20" i="3"/>
  <c r="S20" i="3"/>
  <c r="O20" i="3"/>
  <c r="AM19" i="3"/>
  <c r="AK19" i="3"/>
  <c r="AJ19" i="3"/>
  <c r="AN19" i="3" s="1"/>
  <c r="AG19" i="3"/>
  <c r="AF19" i="3"/>
  <c r="AE19" i="3"/>
  <c r="AD19" i="3"/>
  <c r="AC19" i="3"/>
  <c r="AA19" i="3"/>
  <c r="Y19" i="3"/>
  <c r="W19" i="3"/>
  <c r="S19" i="3"/>
  <c r="O19" i="3"/>
  <c r="AM18" i="3"/>
  <c r="AK18" i="3"/>
  <c r="AJ18" i="3"/>
  <c r="AN18" i="3" s="1"/>
  <c r="AG18" i="3"/>
  <c r="AF18" i="3"/>
  <c r="AE18" i="3"/>
  <c r="AD18" i="3"/>
  <c r="AC18" i="3"/>
  <c r="AA18" i="3"/>
  <c r="Y18" i="3"/>
  <c r="W18" i="3"/>
  <c r="S18" i="3"/>
  <c r="O18" i="3"/>
  <c r="AM17" i="3"/>
  <c r="AK17" i="3"/>
  <c r="AG17" i="3"/>
  <c r="AF17" i="3"/>
  <c r="AE17" i="3"/>
  <c r="AD17" i="3"/>
  <c r="AJ17" i="3" s="1"/>
  <c r="AC17" i="3"/>
  <c r="AA17" i="3"/>
  <c r="Y17" i="3"/>
  <c r="W17" i="3"/>
  <c r="S17" i="3"/>
  <c r="O17" i="3"/>
  <c r="AM16" i="3"/>
  <c r="AK16" i="3"/>
  <c r="AG16" i="3"/>
  <c r="AF16" i="3"/>
  <c r="AE16" i="3"/>
  <c r="AD16" i="3"/>
  <c r="AJ16" i="3" s="1"/>
  <c r="AC16" i="3"/>
  <c r="AA16" i="3"/>
  <c r="Y16" i="3"/>
  <c r="W16" i="3"/>
  <c r="S16" i="3"/>
  <c r="O16" i="3"/>
  <c r="AM15" i="3"/>
  <c r="AK15" i="3"/>
  <c r="AG15" i="3"/>
  <c r="AF15" i="3"/>
  <c r="AE15" i="3"/>
  <c r="AD15" i="3"/>
  <c r="AC15" i="3"/>
  <c r="AA15" i="3"/>
  <c r="Y15" i="3"/>
  <c r="W15" i="3"/>
  <c r="S15" i="3"/>
  <c r="O15" i="3"/>
  <c r="AM14" i="3"/>
  <c r="AK14" i="3"/>
  <c r="AG14" i="3"/>
  <c r="AF14" i="3"/>
  <c r="AE14" i="3"/>
  <c r="AD14" i="3"/>
  <c r="AC14" i="3"/>
  <c r="AA14" i="3"/>
  <c r="Y14" i="3"/>
  <c r="W14" i="3"/>
  <c r="S14" i="3"/>
  <c r="O14" i="3"/>
  <c r="AM13" i="3"/>
  <c r="AK13" i="3"/>
  <c r="AG13" i="3"/>
  <c r="AF13" i="3"/>
  <c r="AE13" i="3"/>
  <c r="AD13" i="3"/>
  <c r="AJ13" i="3" s="1"/>
  <c r="AC13" i="3"/>
  <c r="AA13" i="3"/>
  <c r="Y13" i="3"/>
  <c r="W13" i="3"/>
  <c r="S13" i="3"/>
  <c r="O13" i="3"/>
  <c r="AM12" i="3"/>
  <c r="AK12" i="3"/>
  <c r="AG12" i="3"/>
  <c r="AF12" i="3"/>
  <c r="AE12" i="3"/>
  <c r="AD12" i="3"/>
  <c r="AJ12" i="3" s="1"/>
  <c r="AC12" i="3"/>
  <c r="AA12" i="3"/>
  <c r="Y12" i="3"/>
  <c r="W12" i="3"/>
  <c r="S12" i="3"/>
  <c r="O12" i="3"/>
  <c r="AM11" i="3"/>
  <c r="AK11" i="3"/>
  <c r="AJ11" i="3"/>
  <c r="AN11" i="3" s="1"/>
  <c r="AG11" i="3"/>
  <c r="AF11" i="3"/>
  <c r="AE11" i="3"/>
  <c r="AD11" i="3"/>
  <c r="AC11" i="3"/>
  <c r="AA11" i="3"/>
  <c r="Y11" i="3"/>
  <c r="W11" i="3"/>
  <c r="S11" i="3"/>
  <c r="O11" i="3"/>
  <c r="AM10" i="3"/>
  <c r="AK10" i="3"/>
  <c r="AJ10" i="3"/>
  <c r="AN10" i="3" s="1"/>
  <c r="AG10" i="3"/>
  <c r="AF10" i="3"/>
  <c r="AE10" i="3"/>
  <c r="AD10" i="3"/>
  <c r="AC10" i="3"/>
  <c r="AA10" i="3"/>
  <c r="Y10" i="3"/>
  <c r="W10" i="3"/>
  <c r="S10" i="3"/>
  <c r="O10" i="3"/>
  <c r="AM9" i="3"/>
  <c r="AK9" i="3"/>
  <c r="AJ9" i="3"/>
  <c r="AL9" i="3" s="1"/>
  <c r="AG9" i="3"/>
  <c r="AF9" i="3"/>
  <c r="AE9" i="3"/>
  <c r="AD9" i="3"/>
  <c r="AC9" i="3"/>
  <c r="AA9" i="3"/>
  <c r="Y9" i="3"/>
  <c r="W9" i="3"/>
  <c r="S9" i="3"/>
  <c r="O9" i="3"/>
  <c r="AM8" i="3"/>
  <c r="AK8" i="3"/>
  <c r="AG8" i="3"/>
  <c r="AF8" i="3"/>
  <c r="AE8" i="3"/>
  <c r="AD8" i="3"/>
  <c r="AJ8" i="3" s="1"/>
  <c r="AC8" i="3"/>
  <c r="AA8" i="3"/>
  <c r="Y8" i="3"/>
  <c r="W8" i="3"/>
  <c r="S8" i="3"/>
  <c r="O8" i="3"/>
  <c r="AM7" i="3"/>
  <c r="AK7" i="3"/>
  <c r="AG7" i="3"/>
  <c r="AF7" i="3"/>
  <c r="AE7" i="3"/>
  <c r="AD7" i="3"/>
  <c r="AJ7" i="3" s="1"/>
  <c r="AN7" i="3" s="1"/>
  <c r="AC7" i="3"/>
  <c r="AA7" i="3"/>
  <c r="Y7" i="3"/>
  <c r="W7" i="3"/>
  <c r="S7" i="3"/>
  <c r="O7" i="3"/>
  <c r="AM6" i="3"/>
  <c r="AK6" i="3"/>
  <c r="AG6" i="3"/>
  <c r="AF6" i="3"/>
  <c r="AE6" i="3"/>
  <c r="AD6" i="3"/>
  <c r="AC6" i="3"/>
  <c r="AA6" i="3"/>
  <c r="Y6" i="3"/>
  <c r="W6" i="3"/>
  <c r="S6" i="3"/>
  <c r="O6" i="3"/>
  <c r="AM5" i="3"/>
  <c r="AK5" i="3"/>
  <c r="AG5" i="3"/>
  <c r="AF5" i="3"/>
  <c r="AE5" i="3"/>
  <c r="AD5" i="3"/>
  <c r="AJ5" i="3" s="1"/>
  <c r="AC5" i="3"/>
  <c r="AA5" i="3"/>
  <c r="Y5" i="3"/>
  <c r="W5" i="3"/>
  <c r="S5" i="3"/>
  <c r="O5" i="3"/>
  <c r="AM4" i="3"/>
  <c r="AK4" i="3"/>
  <c r="AJ4" i="3"/>
  <c r="AN4" i="3" s="1"/>
  <c r="AG4" i="3"/>
  <c r="AF4" i="3"/>
  <c r="AE4" i="3"/>
  <c r="AD4" i="3"/>
  <c r="AC4" i="3"/>
  <c r="AA4" i="3"/>
  <c r="Y4" i="3"/>
  <c r="W4" i="3"/>
  <c r="S4" i="3"/>
  <c r="O4" i="3"/>
  <c r="AM3" i="3"/>
  <c r="AK3" i="3"/>
  <c r="AG3" i="3"/>
  <c r="AF3" i="3"/>
  <c r="AE3" i="3"/>
  <c r="AD3" i="3"/>
  <c r="AJ3" i="3" s="1"/>
  <c r="AC3" i="3"/>
  <c r="AA3" i="3"/>
  <c r="Y3" i="3"/>
  <c r="W3" i="3"/>
  <c r="S3" i="3"/>
  <c r="O3" i="3"/>
  <c r="AM2" i="3"/>
  <c r="AK2" i="3"/>
  <c r="AG2" i="3"/>
  <c r="AF2" i="3"/>
  <c r="AJ2" i="3" s="1"/>
  <c r="AE2" i="3"/>
  <c r="AD2" i="3"/>
  <c r="AC2" i="3"/>
  <c r="AA2" i="3"/>
  <c r="Y2" i="3"/>
  <c r="W2" i="3"/>
  <c r="S2" i="3"/>
  <c r="O2" i="3"/>
  <c r="F52" i="4" l="1"/>
  <c r="F60" i="4"/>
  <c r="F13" i="5"/>
  <c r="F25" i="4"/>
  <c r="F33" i="4"/>
  <c r="F49" i="4"/>
  <c r="F57" i="4"/>
  <c r="F65" i="4"/>
  <c r="F73" i="4"/>
  <c r="F42" i="5"/>
  <c r="F58" i="5"/>
  <c r="F74" i="5"/>
  <c r="F19" i="6"/>
  <c r="F51" i="6"/>
  <c r="F67" i="6"/>
  <c r="AN21" i="3"/>
  <c r="F15" i="4"/>
  <c r="F47" i="4"/>
  <c r="F12" i="4"/>
  <c r="F20" i="4"/>
  <c r="F28" i="4"/>
  <c r="F36" i="4"/>
  <c r="F44" i="4"/>
  <c r="F21" i="5"/>
  <c r="F53" i="5"/>
  <c r="F59" i="6"/>
  <c r="F75" i="6"/>
  <c r="F8" i="6"/>
  <c r="F16" i="6"/>
  <c r="F24" i="6"/>
  <c r="F32" i="6"/>
  <c r="F40" i="6"/>
  <c r="F48" i="6"/>
  <c r="F56" i="6"/>
  <c r="F64" i="6"/>
  <c r="F72" i="6"/>
  <c r="F69" i="5"/>
  <c r="F8" i="4"/>
  <c r="F16" i="4"/>
  <c r="F24" i="4"/>
  <c r="F32" i="4"/>
  <c r="F40" i="4"/>
  <c r="F48" i="4"/>
  <c r="F56" i="4"/>
  <c r="F17" i="5"/>
  <c r="F49" i="5"/>
  <c r="F65" i="5"/>
  <c r="F55" i="4"/>
  <c r="F41" i="4"/>
  <c r="F67" i="4"/>
  <c r="F53" i="4"/>
  <c r="F61" i="4"/>
  <c r="F22" i="5"/>
  <c r="F27" i="5"/>
  <c r="F38" i="5"/>
  <c r="F54" i="5"/>
  <c r="F59" i="5"/>
  <c r="F75" i="5"/>
  <c r="F29" i="5"/>
  <c r="F9" i="6"/>
  <c r="F25" i="6"/>
  <c r="F33" i="6"/>
  <c r="F41" i="6"/>
  <c r="F49" i="6"/>
  <c r="F9" i="4"/>
  <c r="F63" i="5"/>
  <c r="AL10" i="3"/>
  <c r="G13" i="5" s="1"/>
  <c r="H13" i="5" s="1"/>
  <c r="F30" i="5"/>
  <c r="F62" i="5"/>
  <c r="F58" i="4"/>
  <c r="F66" i="4"/>
  <c r="F74" i="4"/>
  <c r="F5" i="5"/>
  <c r="F37" i="5"/>
  <c r="F10" i="5"/>
  <c r="F26" i="5"/>
  <c r="F45" i="5"/>
  <c r="F61" i="5"/>
  <c r="F17" i="4"/>
  <c r="F46" i="4"/>
  <c r="F54" i="4"/>
  <c r="F15" i="5"/>
  <c r="F23" i="5"/>
  <c r="F31" i="5"/>
  <c r="F39" i="5"/>
  <c r="F47" i="5"/>
  <c r="F30" i="6"/>
  <c r="F46" i="6"/>
  <c r="F12" i="5"/>
  <c r="F28" i="5"/>
  <c r="F44" i="5"/>
  <c r="F60" i="5"/>
  <c r="F43" i="6"/>
  <c r="F9" i="5"/>
  <c r="F34" i="5"/>
  <c r="F73" i="5"/>
  <c r="F5" i="4"/>
  <c r="F13" i="4"/>
  <c r="F21" i="4"/>
  <c r="F29" i="4"/>
  <c r="F37" i="4"/>
  <c r="F45" i="4"/>
  <c r="F6" i="5"/>
  <c r="F70" i="5"/>
  <c r="F7" i="4"/>
  <c r="F23" i="4"/>
  <c r="F31" i="4"/>
  <c r="F39" i="4"/>
  <c r="F11" i="5"/>
  <c r="F14" i="5"/>
  <c r="F25" i="5"/>
  <c r="F36" i="5"/>
  <c r="F50" i="5"/>
  <c r="F33" i="5"/>
  <c r="F41" i="5"/>
  <c r="F52" i="5"/>
  <c r="F66" i="5"/>
  <c r="F17" i="6"/>
  <c r="F57" i="6"/>
  <c r="F73" i="6"/>
  <c r="F6" i="4"/>
  <c r="F14" i="4"/>
  <c r="F22" i="4"/>
  <c r="F71" i="5"/>
  <c r="F38" i="6"/>
  <c r="F11" i="4"/>
  <c r="F19" i="4"/>
  <c r="F27" i="4"/>
  <c r="F35" i="4"/>
  <c r="F43" i="4"/>
  <c r="F51" i="4"/>
  <c r="F59" i="4"/>
  <c r="F18" i="5"/>
  <c r="F43" i="5"/>
  <c r="F46" i="5"/>
  <c r="F57" i="5"/>
  <c r="F27" i="6"/>
  <c r="F35" i="6"/>
  <c r="F8" i="5"/>
  <c r="F24" i="5"/>
  <c r="F40" i="5"/>
  <c r="F56" i="5"/>
  <c r="F72" i="5"/>
  <c r="F10" i="6"/>
  <c r="F18" i="6"/>
  <c r="F26" i="6"/>
  <c r="F34" i="6"/>
  <c r="F42" i="6"/>
  <c r="F50" i="6"/>
  <c r="F58" i="6"/>
  <c r="F66" i="6"/>
  <c r="F74" i="6"/>
  <c r="F71" i="4"/>
  <c r="F30" i="4"/>
  <c r="F63" i="4"/>
  <c r="F38" i="4"/>
  <c r="F62" i="4"/>
  <c r="F20" i="5"/>
  <c r="F68" i="5"/>
  <c r="AN28" i="3"/>
  <c r="F75" i="4"/>
  <c r="F7" i="5"/>
  <c r="F55" i="5"/>
  <c r="F65" i="6"/>
  <c r="F16" i="5"/>
  <c r="F32" i="5"/>
  <c r="F48" i="5"/>
  <c r="F64" i="5"/>
  <c r="F6" i="6"/>
  <c r="F54" i="6"/>
  <c r="F62" i="6"/>
  <c r="F70" i="6"/>
  <c r="F10" i="4"/>
  <c r="F18" i="4"/>
  <c r="F26" i="4"/>
  <c r="F34" i="4"/>
  <c r="F42" i="4"/>
  <c r="F50" i="4"/>
  <c r="F19" i="5"/>
  <c r="F35" i="5"/>
  <c r="F51" i="5"/>
  <c r="F67" i="5"/>
  <c r="AL50" i="3"/>
  <c r="G53" i="4" s="1"/>
  <c r="H53" i="4" s="1"/>
  <c r="F70" i="4"/>
  <c r="F5" i="6"/>
  <c r="F13" i="6"/>
  <c r="F21" i="6"/>
  <c r="F29" i="6"/>
  <c r="F37" i="6"/>
  <c r="F45" i="6"/>
  <c r="F53" i="6"/>
  <c r="F61" i="6"/>
  <c r="F69" i="6"/>
  <c r="F64" i="4"/>
  <c r="F72" i="4"/>
  <c r="F7" i="6"/>
  <c r="F15" i="6"/>
  <c r="F23" i="6"/>
  <c r="F31" i="6"/>
  <c r="F39" i="6"/>
  <c r="F47" i="6"/>
  <c r="F55" i="6"/>
  <c r="F63" i="6"/>
  <c r="F71" i="6"/>
  <c r="AL19" i="3"/>
  <c r="G22" i="5" s="1"/>
  <c r="H22" i="5" s="1"/>
  <c r="AL41" i="3"/>
  <c r="G44" i="4" s="1"/>
  <c r="H44" i="4" s="1"/>
  <c r="AL48" i="3"/>
  <c r="G51" i="5" s="1"/>
  <c r="H51" i="5" s="1"/>
  <c r="F69" i="4"/>
  <c r="F12" i="6"/>
  <c r="F20" i="6"/>
  <c r="F28" i="6"/>
  <c r="F36" i="6"/>
  <c r="F44" i="6"/>
  <c r="F52" i="6"/>
  <c r="F60" i="6"/>
  <c r="F68" i="6"/>
  <c r="AL22" i="3"/>
  <c r="G25" i="5" s="1"/>
  <c r="H25" i="5" s="1"/>
  <c r="AL40" i="3"/>
  <c r="G43" i="6" s="1"/>
  <c r="H43" i="6" s="1"/>
  <c r="F22" i="6"/>
  <c r="AL11" i="3"/>
  <c r="G14" i="5" s="1"/>
  <c r="H14" i="5" s="1"/>
  <c r="AL23" i="3"/>
  <c r="G26" i="6" s="1"/>
  <c r="H26" i="6" s="1"/>
  <c r="F68" i="4"/>
  <c r="F11" i="6"/>
  <c r="AN26" i="3"/>
  <c r="AL26" i="3"/>
  <c r="AL8" i="3"/>
  <c r="AN8" i="3"/>
  <c r="AN20" i="3"/>
  <c r="AL20" i="3"/>
  <c r="AL17" i="3"/>
  <c r="AN17" i="3"/>
  <c r="AN13" i="3"/>
  <c r="AL13" i="3"/>
  <c r="AN25" i="3"/>
  <c r="AL25" i="3"/>
  <c r="AN3" i="3"/>
  <c r="AL3" i="3"/>
  <c r="AL24" i="3"/>
  <c r="AN24" i="3"/>
  <c r="AN2" i="3"/>
  <c r="AL2" i="3"/>
  <c r="AN5" i="3"/>
  <c r="AL5" i="3"/>
  <c r="AN12" i="3"/>
  <c r="AL12" i="3"/>
  <c r="AL16" i="3"/>
  <c r="AN16" i="3"/>
  <c r="G31" i="5"/>
  <c r="H31" i="5" s="1"/>
  <c r="G31" i="6"/>
  <c r="H31" i="6" s="1"/>
  <c r="G31" i="4"/>
  <c r="H31" i="4" s="1"/>
  <c r="G12" i="5"/>
  <c r="H12" i="5" s="1"/>
  <c r="G12" i="6"/>
  <c r="H12" i="6" s="1"/>
  <c r="G12" i="4"/>
  <c r="H12" i="4" s="1"/>
  <c r="AN45" i="3"/>
  <c r="AL45" i="3"/>
  <c r="AN65" i="3"/>
  <c r="AL65" i="3"/>
  <c r="AN30" i="3"/>
  <c r="AJ37" i="3"/>
  <c r="AN38" i="3"/>
  <c r="AL38" i="3"/>
  <c r="AN42" i="3"/>
  <c r="AN53" i="3"/>
  <c r="AL53" i="3"/>
  <c r="AN56" i="3"/>
  <c r="AL56" i="3"/>
  <c r="AN59" i="3"/>
  <c r="AL59" i="3"/>
  <c r="AN61" i="3"/>
  <c r="AL61" i="3"/>
  <c r="AN46" i="3"/>
  <c r="AL46" i="3"/>
  <c r="AL4" i="3"/>
  <c r="AJ6" i="3"/>
  <c r="AJ15" i="3"/>
  <c r="AL18" i="3"/>
  <c r="AL29" i="3"/>
  <c r="AN67" i="3"/>
  <c r="AL67" i="3"/>
  <c r="AN9" i="3"/>
  <c r="G33" i="5"/>
  <c r="H33" i="5" s="1"/>
  <c r="G33" i="6"/>
  <c r="H33" i="6" s="1"/>
  <c r="G33" i="4"/>
  <c r="H33" i="4" s="1"/>
  <c r="AN33" i="3"/>
  <c r="AL33" i="3"/>
  <c r="AN34" i="3"/>
  <c r="AL34" i="3"/>
  <c r="G45" i="5"/>
  <c r="H45" i="5" s="1"/>
  <c r="G45" i="6"/>
  <c r="H45" i="6" s="1"/>
  <c r="G45" i="4"/>
  <c r="H45" i="4" s="1"/>
  <c r="AN55" i="3"/>
  <c r="AL55" i="3"/>
  <c r="AN58" i="3"/>
  <c r="AL58" i="3"/>
  <c r="AJ14" i="3"/>
  <c r="AJ36" i="3"/>
  <c r="AJ44" i="3"/>
  <c r="AN64" i="3"/>
  <c r="AL64" i="3"/>
  <c r="AN69" i="3"/>
  <c r="AL69" i="3"/>
  <c r="AN31" i="3"/>
  <c r="AL31" i="3"/>
  <c r="AN43" i="3"/>
  <c r="AL43" i="3"/>
  <c r="AN68" i="3"/>
  <c r="AL68" i="3"/>
  <c r="AL7" i="3"/>
  <c r="G24" i="5"/>
  <c r="H24" i="5" s="1"/>
  <c r="G24" i="6"/>
  <c r="H24" i="6" s="1"/>
  <c r="G24" i="4"/>
  <c r="H24" i="4" s="1"/>
  <c r="AN27" i="3"/>
  <c r="AN60" i="3"/>
  <c r="AL60" i="3"/>
  <c r="AJ32" i="3"/>
  <c r="AJ35" i="3"/>
  <c r="AN39" i="3"/>
  <c r="AL39" i="3"/>
  <c r="AN63" i="3"/>
  <c r="AL63" i="3"/>
  <c r="AL66" i="3"/>
  <c r="AN66" i="3"/>
  <c r="AL27" i="3"/>
  <c r="AN54" i="3"/>
  <c r="AL54" i="3"/>
  <c r="AN57" i="3"/>
  <c r="AL57" i="3"/>
  <c r="AL47" i="3"/>
  <c r="AL49" i="3"/>
  <c r="AL51" i="3"/>
  <c r="AJ72" i="3"/>
  <c r="AL52" i="3"/>
  <c r="AL62" i="3"/>
  <c r="AL70" i="3"/>
  <c r="AN71" i="3"/>
  <c r="G74" i="5"/>
  <c r="H74" i="5" s="1"/>
  <c r="G74" i="6"/>
  <c r="H74" i="6" s="1"/>
  <c r="G74" i="4"/>
  <c r="H74" i="4" s="1"/>
  <c r="G22" i="4" l="1"/>
  <c r="H22" i="4" s="1"/>
  <c r="G44" i="5"/>
  <c r="H44" i="5" s="1"/>
  <c r="G44" i="6"/>
  <c r="H44" i="6" s="1"/>
  <c r="G53" i="5"/>
  <c r="H53" i="5" s="1"/>
  <c r="G13" i="6"/>
  <c r="H13" i="6" s="1"/>
  <c r="G51" i="4"/>
  <c r="H51" i="4" s="1"/>
  <c r="G13" i="4"/>
  <c r="H13" i="4" s="1"/>
  <c r="G51" i="6"/>
  <c r="H51" i="6" s="1"/>
  <c r="G53" i="6"/>
  <c r="H53" i="6" s="1"/>
  <c r="G43" i="4"/>
  <c r="H43" i="4" s="1"/>
  <c r="G43" i="5"/>
  <c r="H43" i="5" s="1"/>
  <c r="G26" i="4"/>
  <c r="H26" i="4" s="1"/>
  <c r="G26" i="5"/>
  <c r="H26" i="5" s="1"/>
  <c r="F77" i="5"/>
  <c r="G25" i="4"/>
  <c r="H25" i="4" s="1"/>
  <c r="B2" i="5"/>
  <c r="B3" i="5" s="1"/>
  <c r="G25" i="6"/>
  <c r="H25" i="6" s="1"/>
  <c r="F77" i="6"/>
  <c r="F77" i="4"/>
  <c r="B2" i="4"/>
  <c r="B3" i="4" s="1"/>
  <c r="G14" i="4"/>
  <c r="H14" i="4" s="1"/>
  <c r="G14" i="6"/>
  <c r="H14" i="6" s="1"/>
  <c r="G22" i="6"/>
  <c r="H22" i="6" s="1"/>
  <c r="B2" i="6"/>
  <c r="B3" i="6" s="1"/>
  <c r="AN35" i="3"/>
  <c r="AL35" i="3"/>
  <c r="G72" i="5"/>
  <c r="H72" i="5" s="1"/>
  <c r="G72" i="6"/>
  <c r="H72" i="6" s="1"/>
  <c r="G72" i="4"/>
  <c r="H72" i="4" s="1"/>
  <c r="G36" i="5"/>
  <c r="H36" i="5" s="1"/>
  <c r="G36" i="6"/>
  <c r="H36" i="6" s="1"/>
  <c r="G36" i="4"/>
  <c r="H36" i="4" s="1"/>
  <c r="G49" i="5"/>
  <c r="H49" i="5" s="1"/>
  <c r="G49" i="6"/>
  <c r="H49" i="6" s="1"/>
  <c r="G49" i="4"/>
  <c r="H49" i="4" s="1"/>
  <c r="G56" i="5"/>
  <c r="H56" i="5" s="1"/>
  <c r="G56" i="6"/>
  <c r="H56" i="6" s="1"/>
  <c r="G56" i="4"/>
  <c r="H56" i="4" s="1"/>
  <c r="G8" i="5"/>
  <c r="H8" i="5" s="1"/>
  <c r="G8" i="6"/>
  <c r="H8" i="6" s="1"/>
  <c r="G8" i="4"/>
  <c r="H8" i="4" s="1"/>
  <c r="G27" i="5"/>
  <c r="H27" i="5" s="1"/>
  <c r="G27" i="6"/>
  <c r="H27" i="6" s="1"/>
  <c r="G27" i="4"/>
  <c r="H27" i="4" s="1"/>
  <c r="G20" i="5"/>
  <c r="H20" i="5" s="1"/>
  <c r="G20" i="6"/>
  <c r="H20" i="6" s="1"/>
  <c r="G20" i="4"/>
  <c r="H20" i="4" s="1"/>
  <c r="G30" i="5"/>
  <c r="H30" i="5" s="1"/>
  <c r="G30" i="6"/>
  <c r="H30" i="6" s="1"/>
  <c r="G30" i="4"/>
  <c r="H30" i="4" s="1"/>
  <c r="AL32" i="3"/>
  <c r="AN32" i="3"/>
  <c r="G10" i="5"/>
  <c r="H10" i="5" s="1"/>
  <c r="G10" i="6"/>
  <c r="H10" i="6" s="1"/>
  <c r="G10" i="4"/>
  <c r="H10" i="4" s="1"/>
  <c r="G58" i="5"/>
  <c r="H58" i="5" s="1"/>
  <c r="G58" i="6"/>
  <c r="H58" i="6" s="1"/>
  <c r="G58" i="4"/>
  <c r="H58" i="4" s="1"/>
  <c r="G70" i="5"/>
  <c r="H70" i="5" s="1"/>
  <c r="G70" i="6"/>
  <c r="H70" i="6" s="1"/>
  <c r="G70" i="4"/>
  <c r="H70" i="4" s="1"/>
  <c r="G48" i="5"/>
  <c r="H48" i="5" s="1"/>
  <c r="G48" i="6"/>
  <c r="H48" i="6" s="1"/>
  <c r="G48" i="4"/>
  <c r="H48" i="4" s="1"/>
  <c r="G6" i="5"/>
  <c r="H6" i="5" s="1"/>
  <c r="G6" i="6"/>
  <c r="H6" i="6" s="1"/>
  <c r="G6" i="4"/>
  <c r="H6" i="4" s="1"/>
  <c r="G23" i="5"/>
  <c r="H23" i="5" s="1"/>
  <c r="G23" i="6"/>
  <c r="H23" i="6" s="1"/>
  <c r="G23" i="4"/>
  <c r="H23" i="4" s="1"/>
  <c r="G55" i="5"/>
  <c r="H55" i="5" s="1"/>
  <c r="G55" i="6"/>
  <c r="H55" i="6" s="1"/>
  <c r="G55" i="4"/>
  <c r="H55" i="4" s="1"/>
  <c r="AL72" i="3"/>
  <c r="AN72" i="3"/>
  <c r="G71" i="5"/>
  <c r="H71" i="5" s="1"/>
  <c r="G71" i="6"/>
  <c r="H71" i="6" s="1"/>
  <c r="G71" i="4"/>
  <c r="H71" i="4" s="1"/>
  <c r="G67" i="5"/>
  <c r="H67" i="5" s="1"/>
  <c r="G67" i="6"/>
  <c r="H67" i="6" s="1"/>
  <c r="G67" i="4"/>
  <c r="H67" i="4" s="1"/>
  <c r="G64" i="5"/>
  <c r="H64" i="5" s="1"/>
  <c r="G64" i="6"/>
  <c r="H64" i="6" s="1"/>
  <c r="G64" i="4"/>
  <c r="H64" i="4" s="1"/>
  <c r="G5" i="5"/>
  <c r="H5" i="5" s="1"/>
  <c r="G5" i="6"/>
  <c r="H5" i="6" s="1"/>
  <c r="G5" i="4"/>
  <c r="H5" i="4" s="1"/>
  <c r="G7" i="5"/>
  <c r="H7" i="5" s="1"/>
  <c r="G7" i="6"/>
  <c r="H7" i="6" s="1"/>
  <c r="G7" i="4"/>
  <c r="H7" i="4" s="1"/>
  <c r="G69" i="5"/>
  <c r="H69" i="5" s="1"/>
  <c r="G69" i="6"/>
  <c r="H69" i="6" s="1"/>
  <c r="G69" i="4"/>
  <c r="H69" i="4" s="1"/>
  <c r="G63" i="5"/>
  <c r="H63" i="5" s="1"/>
  <c r="G63" i="6"/>
  <c r="H63" i="6" s="1"/>
  <c r="G63" i="4"/>
  <c r="H63" i="4" s="1"/>
  <c r="G32" i="5"/>
  <c r="H32" i="5" s="1"/>
  <c r="G32" i="6"/>
  <c r="H32" i="6" s="1"/>
  <c r="G32" i="4"/>
  <c r="H32" i="4" s="1"/>
  <c r="G41" i="5"/>
  <c r="H41" i="5" s="1"/>
  <c r="G41" i="6"/>
  <c r="H41" i="6" s="1"/>
  <c r="G41" i="4"/>
  <c r="H41" i="4" s="1"/>
  <c r="G28" i="5"/>
  <c r="H28" i="5" s="1"/>
  <c r="G28" i="6"/>
  <c r="H28" i="6" s="1"/>
  <c r="G28" i="4"/>
  <c r="H28" i="4" s="1"/>
  <c r="G57" i="5"/>
  <c r="H57" i="5" s="1"/>
  <c r="G57" i="6"/>
  <c r="H57" i="6" s="1"/>
  <c r="G57" i="4"/>
  <c r="H57" i="4" s="1"/>
  <c r="G54" i="5"/>
  <c r="H54" i="5" s="1"/>
  <c r="G54" i="6"/>
  <c r="H54" i="6" s="1"/>
  <c r="G54" i="4"/>
  <c r="H54" i="4" s="1"/>
  <c r="G52" i="5"/>
  <c r="H52" i="5" s="1"/>
  <c r="G52" i="6"/>
  <c r="H52" i="6" s="1"/>
  <c r="G52" i="4"/>
  <c r="H52" i="4" s="1"/>
  <c r="G66" i="5"/>
  <c r="H66" i="5" s="1"/>
  <c r="G66" i="6"/>
  <c r="H66" i="6" s="1"/>
  <c r="G66" i="4"/>
  <c r="H66" i="4" s="1"/>
  <c r="G46" i="5"/>
  <c r="H46" i="5" s="1"/>
  <c r="G46" i="6"/>
  <c r="H46" i="6" s="1"/>
  <c r="G46" i="4"/>
  <c r="H46" i="4" s="1"/>
  <c r="AN44" i="3"/>
  <c r="AL44" i="3"/>
  <c r="G21" i="5"/>
  <c r="H21" i="5" s="1"/>
  <c r="G21" i="6"/>
  <c r="H21" i="6" s="1"/>
  <c r="G21" i="4"/>
  <c r="H21" i="4" s="1"/>
  <c r="G62" i="5"/>
  <c r="H62" i="5" s="1"/>
  <c r="G62" i="6"/>
  <c r="H62" i="6" s="1"/>
  <c r="G62" i="4"/>
  <c r="H62" i="4" s="1"/>
  <c r="G11" i="5"/>
  <c r="H11" i="5" s="1"/>
  <c r="G11" i="6"/>
  <c r="H11" i="6" s="1"/>
  <c r="G11" i="4"/>
  <c r="H11" i="4" s="1"/>
  <c r="G73" i="5"/>
  <c r="H73" i="5" s="1"/>
  <c r="G73" i="6"/>
  <c r="H73" i="6" s="1"/>
  <c r="G73" i="4"/>
  <c r="H73" i="4" s="1"/>
  <c r="G50" i="5"/>
  <c r="H50" i="5" s="1"/>
  <c r="G50" i="6"/>
  <c r="H50" i="6" s="1"/>
  <c r="G50" i="4"/>
  <c r="H50" i="4" s="1"/>
  <c r="G60" i="5"/>
  <c r="H60" i="5" s="1"/>
  <c r="G60" i="6"/>
  <c r="H60" i="6" s="1"/>
  <c r="G60" i="4"/>
  <c r="H60" i="4" s="1"/>
  <c r="AL36" i="3"/>
  <c r="AN36" i="3"/>
  <c r="AL15" i="3"/>
  <c r="AN15" i="3"/>
  <c r="AN37" i="3"/>
  <c r="AL37" i="3"/>
  <c r="G19" i="5"/>
  <c r="H19" i="5" s="1"/>
  <c r="G19" i="6"/>
  <c r="H19" i="6" s="1"/>
  <c r="G19" i="4"/>
  <c r="H19" i="4" s="1"/>
  <c r="G16" i="5"/>
  <c r="H16" i="5" s="1"/>
  <c r="G16" i="6"/>
  <c r="H16" i="6" s="1"/>
  <c r="G16" i="4"/>
  <c r="H16" i="4" s="1"/>
  <c r="G29" i="5"/>
  <c r="H29" i="5" s="1"/>
  <c r="G29" i="6"/>
  <c r="H29" i="6" s="1"/>
  <c r="G29" i="4"/>
  <c r="H29" i="4" s="1"/>
  <c r="G61" i="5"/>
  <c r="H61" i="5" s="1"/>
  <c r="G61" i="6"/>
  <c r="H61" i="6" s="1"/>
  <c r="G61" i="4"/>
  <c r="H61" i="4" s="1"/>
  <c r="G68" i="5"/>
  <c r="H68" i="5" s="1"/>
  <c r="G68" i="6"/>
  <c r="H68" i="6" s="1"/>
  <c r="G68" i="4"/>
  <c r="H68" i="4" s="1"/>
  <c r="G65" i="5"/>
  <c r="H65" i="5" s="1"/>
  <c r="G65" i="6"/>
  <c r="H65" i="6" s="1"/>
  <c r="G65" i="4"/>
  <c r="H65" i="4" s="1"/>
  <c r="G42" i="5"/>
  <c r="H42" i="5" s="1"/>
  <c r="G42" i="6"/>
  <c r="H42" i="6" s="1"/>
  <c r="G42" i="4"/>
  <c r="H42" i="4" s="1"/>
  <c r="G34" i="5"/>
  <c r="H34" i="5" s="1"/>
  <c r="G34" i="6"/>
  <c r="H34" i="6" s="1"/>
  <c r="G34" i="4"/>
  <c r="H34" i="4" s="1"/>
  <c r="AN14" i="3"/>
  <c r="AL14" i="3"/>
  <c r="G37" i="5"/>
  <c r="H37" i="5" s="1"/>
  <c r="G37" i="6"/>
  <c r="H37" i="6" s="1"/>
  <c r="G37" i="4"/>
  <c r="H37" i="4" s="1"/>
  <c r="AL6" i="3"/>
  <c r="AN6" i="3"/>
  <c r="G59" i="5"/>
  <c r="H59" i="5" s="1"/>
  <c r="G59" i="6"/>
  <c r="H59" i="6" s="1"/>
  <c r="G59" i="4"/>
  <c r="H59" i="4" s="1"/>
  <c r="G15" i="5"/>
  <c r="H15" i="5" s="1"/>
  <c r="G15" i="6"/>
  <c r="H15" i="6" s="1"/>
  <c r="G15" i="4"/>
  <c r="H15" i="4" s="1"/>
  <c r="G18" i="5" l="1"/>
  <c r="H18" i="5" s="1"/>
  <c r="G18" i="6"/>
  <c r="H18" i="6" s="1"/>
  <c r="G18" i="4"/>
  <c r="H18" i="4" s="1"/>
  <c r="G39" i="5"/>
  <c r="H39" i="5" s="1"/>
  <c r="G39" i="6"/>
  <c r="H39" i="6" s="1"/>
  <c r="G39" i="4"/>
  <c r="H39" i="4" s="1"/>
  <c r="G17" i="5"/>
  <c r="H17" i="5" s="1"/>
  <c r="G17" i="6"/>
  <c r="H17" i="6" s="1"/>
  <c r="G17" i="4"/>
  <c r="H17" i="4" s="1"/>
  <c r="G35" i="5"/>
  <c r="H35" i="5" s="1"/>
  <c r="G35" i="6"/>
  <c r="H35" i="6" s="1"/>
  <c r="G35" i="4"/>
  <c r="H35" i="4" s="1"/>
  <c r="G9" i="5"/>
  <c r="H9" i="5" s="1"/>
  <c r="G9" i="6"/>
  <c r="H9" i="6" s="1"/>
  <c r="G9" i="4"/>
  <c r="H9" i="4" s="1"/>
  <c r="G40" i="5"/>
  <c r="H40" i="5" s="1"/>
  <c r="G40" i="6"/>
  <c r="H40" i="6" s="1"/>
  <c r="G40" i="4"/>
  <c r="H40" i="4" s="1"/>
  <c r="G47" i="5"/>
  <c r="H47" i="5" s="1"/>
  <c r="G47" i="6"/>
  <c r="H47" i="6" s="1"/>
  <c r="G47" i="4"/>
  <c r="H47" i="4" s="1"/>
  <c r="G75" i="5"/>
  <c r="H75" i="5" s="1"/>
  <c r="G75" i="6"/>
  <c r="H75" i="6" s="1"/>
  <c r="G75" i="4"/>
  <c r="H75" i="4" s="1"/>
  <c r="G38" i="5"/>
  <c r="H38" i="5" s="1"/>
  <c r="G38" i="6"/>
  <c r="H38" i="6" s="1"/>
  <c r="G38" i="4"/>
  <c r="H38" i="4" s="1"/>
  <c r="H77" i="4" l="1"/>
  <c r="H77" i="5"/>
  <c r="H77" i="6"/>
</calcChain>
</file>

<file path=xl/sharedStrings.xml><?xml version="1.0" encoding="utf-8"?>
<sst xmlns="http://schemas.openxmlformats.org/spreadsheetml/2006/main" count="4078" uniqueCount="1177">
  <si>
    <t>FPGA / AI Hardware Product Research Workbook (Template)</t>
  </si>
  <si>
    <t>How to use:</t>
  </si>
  <si>
    <t>1) Go to 'Inputs_Assumptions' and update USD→INR FX, default duty/GST and Amazon fee assumptions.</t>
  </si>
  <si>
    <t>2) Go to 'Products_Master' and fill the site prices (Amazon India, India e-commerce, Alibaba/LCSC/Mouser/DigiKey).</t>
  </si>
  <si>
    <t>3) For imported items, enter 'Chosen_Import_Price_USD' and select the source you plan to use; the sheet computes landed cost and recommended selling price.</t>
  </si>
  <si>
    <t>4) Review 'Inventory_Plans' tabs (5L/10L/20L) — adjust quantities and ensure totals fit your budget.</t>
  </si>
  <si>
    <t>5) Use 'FPGA_Board_BOM' to estimate your own branded Artix-7 board manufacturing cost.</t>
  </si>
  <si>
    <t>Last generated:</t>
  </si>
  <si>
    <t>2025-12-20</t>
  </si>
  <si>
    <t>Assumptions (edit blue cells)</t>
  </si>
  <si>
    <t>Parameter</t>
  </si>
  <si>
    <t>Value</t>
  </si>
  <si>
    <t>Notes</t>
  </si>
  <si>
    <t>USD→INR FX rate</t>
  </si>
  <si>
    <t>Update daily/weekly.</t>
  </si>
  <si>
    <t>Default Import Duty %</t>
  </si>
  <si>
    <t>Edit per product/HSN.</t>
  </si>
  <si>
    <t>Default GST %</t>
  </si>
  <si>
    <t>Most electronics 18% in India (verify).</t>
  </si>
  <si>
    <t>Default Ship/Handling per unit (INR)</t>
  </si>
  <si>
    <t>Avg shipping+packing; adjust.</t>
  </si>
  <si>
    <t>Amazon fees % (referral+closing+FBA avg)</t>
  </si>
  <si>
    <t>Approx; depends category &amp; weight.</t>
  </si>
  <si>
    <t>Target Gross Margin % (default)</t>
  </si>
  <si>
    <t>Used for recommended sell price.</t>
  </si>
  <si>
    <t>IndiaMart lead cost per month (INR)</t>
  </si>
  <si>
    <t>Optional paid subscription.</t>
  </si>
  <si>
    <t>SKU</t>
  </si>
  <si>
    <t>Category</t>
  </si>
  <si>
    <t>Product_Type</t>
  </si>
  <si>
    <t>Product_Name</t>
  </si>
  <si>
    <t>Brand/Manufacturer</t>
  </si>
  <si>
    <t>Model/Part_Number</t>
  </si>
  <si>
    <t>Variant</t>
  </si>
  <si>
    <t>Key_Specs</t>
  </si>
  <si>
    <t>Use_Case</t>
  </si>
  <si>
    <t>Target_Customers</t>
  </si>
  <si>
    <t>Sourcing_Mode</t>
  </si>
  <si>
    <t>Primary_Supplier_Planned</t>
  </si>
  <si>
    <t>Planned_Buy_Price_INR</t>
  </si>
  <si>
    <t>Planned_Sell_Price_INR</t>
  </si>
  <si>
    <t>Planned_Gross_Margin_%</t>
  </si>
  <si>
    <t>AmazonIN_Price_INR</t>
  </si>
  <si>
    <t>AmazonIN_URL</t>
  </si>
  <si>
    <t>IndiaEcom_Price_INR</t>
  </si>
  <si>
    <t>IndiaEcom_URL</t>
  </si>
  <si>
    <t>Alibaba_Price_USD</t>
  </si>
  <si>
    <t>Alibaba_URL</t>
  </si>
  <si>
    <t>LCSC_Price_USD</t>
  </si>
  <si>
    <t>LCSC_URL</t>
  </si>
  <si>
    <t>Mouser_Price_USD</t>
  </si>
  <si>
    <t>Mouser_URL</t>
  </si>
  <si>
    <t>DigiKey_Price_USD</t>
  </si>
  <si>
    <t>DigiKey_URL</t>
  </si>
  <si>
    <t>MOQ</t>
  </si>
  <si>
    <t>Lead_Time_Days</t>
  </si>
  <si>
    <t>Ship/Handling_INR</t>
  </si>
  <si>
    <t>Import_Duty_%</t>
  </si>
  <si>
    <t>GST_%</t>
  </si>
  <si>
    <t>FX_USD_INR</t>
  </si>
  <si>
    <t>Chosen_Import_Price_USD</t>
  </si>
  <si>
    <t>Chosen_Source</t>
  </si>
  <si>
    <t>Landed_Cost_INR</t>
  </si>
  <si>
    <t>Target_Gross_Margin_%</t>
  </si>
  <si>
    <t>Recommended_Sell_Price_INR</t>
  </si>
  <si>
    <t>Amazon_Fees_%</t>
  </si>
  <si>
    <t>Net_Margin_Amazon_%</t>
  </si>
  <si>
    <t>Priority</t>
  </si>
  <si>
    <t>Qty_5L</t>
  </si>
  <si>
    <t>Qty_10L</t>
  </si>
  <si>
    <t>Qty_20L</t>
  </si>
  <si>
    <t>Expected_Monthly_Units</t>
  </si>
  <si>
    <t>Last_Checked_Date</t>
  </si>
  <si>
    <t>Source_Notes</t>
  </si>
  <si>
    <t>AmazonIN_Price_Checked_Date</t>
  </si>
  <si>
    <t>AmazonIN_Seller_Name</t>
  </si>
  <si>
    <t>AmazonIN_Seller_URL</t>
  </si>
  <si>
    <t>AmazonIN_Seller_Address</t>
  </si>
  <si>
    <t>AmazonIN_Seller_Contact</t>
  </si>
  <si>
    <t>IndiaEcom_Price_Checked_Date</t>
  </si>
  <si>
    <t>IndiaEcom_Vendor_Name</t>
  </si>
  <si>
    <t>IndiaEcom_Vendor_URL</t>
  </si>
  <si>
    <t>IndiaEcom_Vendor_Address</t>
  </si>
  <si>
    <t>IndiaEcom_Vendor_Contact</t>
  </si>
  <si>
    <t>Alibaba_Price_Checked_Date</t>
  </si>
  <si>
    <t>Alibaba_Supplier_Name</t>
  </si>
  <si>
    <t>Alibaba_Supplier_URL</t>
  </si>
  <si>
    <t>Alibaba_Supplier_Address</t>
  </si>
  <si>
    <t>Alibaba_Supplier_Contact</t>
  </si>
  <si>
    <t>Best_Price_INR</t>
  </si>
  <si>
    <t>Best_Price_Source</t>
  </si>
  <si>
    <t>Best_Price_URL</t>
  </si>
  <si>
    <t>Best_Vendor_Name</t>
  </si>
  <si>
    <t>Best_Vendor_URL</t>
  </si>
  <si>
    <t>Best_Vendor_Address</t>
  </si>
  <si>
    <t>Best_Vendor_Contact</t>
  </si>
  <si>
    <t>Best_Price_Checked_Date</t>
  </si>
  <si>
    <t>Price_Notes</t>
  </si>
  <si>
    <t>Price_Workability_Notes</t>
  </si>
  <si>
    <t>Best_Channels</t>
  </si>
  <si>
    <t>Bundle_Idea_To_Raise_ASP</t>
  </si>
  <si>
    <t>Amazon_Listing_Copy</t>
  </si>
  <si>
    <t>Listing_Keywords</t>
  </si>
  <si>
    <t>Simple_Launch_Plan</t>
  </si>
  <si>
    <t>Supplier_Verification_Status</t>
  </si>
  <si>
    <t>Supplier_Type_(Authorized/Reseller/OEM)</t>
  </si>
  <si>
    <t>Seller_Supplier_Profile_URL</t>
  </si>
  <si>
    <t>Verified_Badges</t>
  </si>
  <si>
    <t>Alibaba_SellerCentral_Profile</t>
  </si>
  <si>
    <t>Evidence_File_Link_(Screenshot/PDF)</t>
  </si>
  <si>
    <t>Payment_Method_Safe_(Y/N)</t>
  </si>
  <si>
    <t>Sample_Tested_(Y/N)</t>
  </si>
  <si>
    <t>DOA_Terms_(Days)</t>
  </si>
  <si>
    <t>Return_Terms</t>
  </si>
  <si>
    <t>Incoterms</t>
  </si>
  <si>
    <t>Warranty</t>
  </si>
  <si>
    <t>Replacement_Timeline</t>
  </si>
  <si>
    <t>Approved_Supplier_(Y/N)</t>
  </si>
  <si>
    <t>Best_Price_Vendor_(Auto)</t>
  </si>
  <si>
    <t>Best_Price_Site_URL</t>
  </si>
  <si>
    <t>Next_Recheck_Date</t>
  </si>
  <si>
    <t>Bottom_Line</t>
  </si>
  <si>
    <t>Priority_Label</t>
  </si>
  <si>
    <t>Priority_Score</t>
  </si>
  <si>
    <t>Priority_Score_Breakdown</t>
  </si>
  <si>
    <t>FPGA-A7-35T</t>
  </si>
  <si>
    <t>FPGA Board</t>
  </si>
  <si>
    <t>Board</t>
  </si>
  <si>
    <t>Artix-7 FPGA Dev Board</t>
  </si>
  <si>
    <t>AMD/Xilinx</t>
  </si>
  <si>
    <t>XC7A35T</t>
  </si>
  <si>
    <t>A35T dev board</t>
  </si>
  <si>
    <t>Artix-7, ~33k LUT, DDR3, USB-JTAG</t>
  </si>
  <si>
    <t>FPGA prototyping, DSP, AI accel</t>
  </si>
  <si>
    <t>Students, Startups</t>
  </si>
  <si>
    <t>Both</t>
  </si>
  <si>
    <t>Rynex/Import</t>
  </si>
  <si>
    <t>https://www.amazon.in/Arty-A7-Artix-7-Development-Hobbyists/dp/B07D1DVRG6</t>
  </si>
  <si>
    <t>https://www.alibaba.com/showroom/xilinx-fpga-kit.html</t>
  </si>
  <si>
    <t>A</t>
  </si>
  <si>
    <t>2025-12-21</t>
  </si>
  <si>
    <t>Risky at planned sell (needs bundle or cheaper sourcing). Gross≈15%. Est Amazon net≈-3% after ~18% fees.</t>
  </si>
  <si>
    <t>Direct (B2B) + IndiaMART RFQs; avoid Amazon unless bundled/priced higher; also local resellers.</t>
  </si>
  <si>
    <t>Bundle: correct power adapter + USB cable + JTAG cable option + PMOD starter pack + demo bitstream + quick‑start + onboarding call.</t>
  </si>
  <si>
    <t>Title: Artix-7 FPGA Dev Board | Verified/QA Tested | Quick‑Start + Support | GST Invoice
Bullets:
- Key specs: Artix-7, ~33k LUT, DDR3, USB-JTAG
- Use case: FPGA prototyping, DSP, AI accel
- Pre‑tested unit with packaging QC sticker + photo proof before dispatch.
- Support: setup guide (QR) + WhatsApp troubleshooting; replacement DOA policy.
- Ideal for startups/labs/training centers; bulk pricing available.</t>
  </si>
  <si>
    <t>fpga development board, zynq board, artix board, cyclone board, vivado board, quartus board, fpga starter kit, pmod</t>
  </si>
  <si>
    <t>Day1–2 sample+QC | Day3 assets+pack insert QR | Day4 IndiaMART+WhatsApp catalog | Week1 Amazon (kit) | Week1–2 LinkedIn/B2B outreach | Week2 small ads + optimize | Bi‑weekly price recheck</t>
  </si>
  <si>
    <t>Pending (missing seller profile)</t>
  </si>
  <si>
    <t>Reseller (needs confirmation)</t>
  </si>
  <si>
    <t>Unknown</t>
  </si>
  <si>
    <t>N</t>
  </si>
  <si>
    <t>7 days DOA replacement; unopened returns as per channel policy.</t>
  </si>
  <si>
    <t>Domestic shipment (GST invoice preferred)</t>
  </si>
  <si>
    <t>3 months (board functional; no over-voltage/ESD damage).</t>
  </si>
  <si>
    <t>7–14 days (confirm with supplier)</t>
  </si>
  <si>
    <t>2026-01-06</t>
  </si>
  <si>
    <t>Risky at planned sell (needs bundle or cheaper sourcing). Gross≈15%. Est Amazon net≈-3% after ~18% fees. | Channels: Direct (B2B) + IndiaMART RFQs; avoid Amazon unless bundled/priced higher; also local resellers. | Bundle: Bundle: correct power adapter + USB cable + JTAG cable option + PMOD starter pack + demo bitstream + quick‑start + onboarding call.</t>
  </si>
  <si>
    <t>High</t>
  </si>
  <si>
    <t>Demand 4.0/40 (units=2.0); Margin 0.0/30 (GM%=-2614260161.3); Channel 0.0/10 (AmazonNet%=NA); Sourcing 6.2/10 (mode=Both); Lead 10.0/10 (days=7.0); Fit 10.0/10; Penalty 0.0/10.</t>
  </si>
  <si>
    <t>FPGA-A7-100T</t>
  </si>
  <si>
    <t>XC7A100T</t>
  </si>
  <si>
    <t>A100T dev board</t>
  </si>
  <si>
    <t>Artix-7, ~101k LUT, DDR3, USB-JTAG</t>
  </si>
  <si>
    <t>Higher logic prototypes</t>
  </si>
  <si>
    <t>Startups, Labs</t>
  </si>
  <si>
    <t>Import</t>
  </si>
  <si>
    <t>https://www.amazon.in/Digilent-Arty-A7-100T-Development/dp/B07V2ZC7R2</t>
  </si>
  <si>
    <t>https://www.alibaba.com/trade/search?SearchText=Artix-7+FPGA+Dev+Board+XC7A100T</t>
  </si>
  <si>
    <t>B</t>
  </si>
  <si>
    <t>Works for Direct/B2B; marketplaces need bundle/price-up. Gross≈19%. Est Amazon net≈1% after ~18% fees.</t>
  </si>
  <si>
    <t>Direct (B2B) + IndiaMART; Amazon only if bundled/priced higher.</t>
  </si>
  <si>
    <t>Title: Artix-7 FPGA Dev Board | Verified/QA Tested | Quick‑Start + Support | GST Invoice
Bullets:
- Key specs: Artix-7, ~101k LUT, DDR3, USB-JTAG
- Use case: Higher logic prototypes
- Pre‑tested unit with packaging QC sticker + photo proof before dispatch.
- Support: setup guide (QR) + WhatsApp troubleshooting; replacement DOA policy.
- Ideal for startups/labs/training centers; bulk pricing available.</t>
  </si>
  <si>
    <t>Works for Direct/B2B; marketplaces need bundle/price-up. Gross≈19%. Est Amazon net≈1% after ~18% fees. | Channels: Direct (B2B) + IndiaMART; Amazon only if bundled/priced higher. | Bundle: Bundle: correct power adapter + USB cable + JTAG cable option + PMOD starter pack + demo bitstream + quick‑start + onboarding call.</t>
  </si>
  <si>
    <t>Medium</t>
  </si>
  <si>
    <t>Demand 0.0/40 (units=0.0); Margin 0.0/30 (GM%=-2298711164.2); Channel 5.0/10 (AmazonNet%=NA); Sourcing 0.0/10 (mode=Import); Lead 10.0/10 (days=7.0); Fit 10.0/10; Penalty 0.0/10.</t>
  </si>
  <si>
    <t>FPGA-ZYNQ-7020</t>
  </si>
  <si>
    <t>Zynq-7000 Dev Board</t>
  </si>
  <si>
    <t>XC7Z020</t>
  </si>
  <si>
    <t>Z-7020 board</t>
  </si>
  <si>
    <t>Dual ARM A9 + FPGA fabric, DDR3</t>
  </si>
  <si>
    <t>Embedded + HW accel</t>
  </si>
  <si>
    <t>https://www.amazon.in/Digilent-Zybo-Z7-Zynq-7000-Development/dp/B0797G4485</t>
  </si>
  <si>
    <t>https://www.alibaba.com/showroom/zynq-7020-development-board.html</t>
  </si>
  <si>
    <t>Risky at planned sell (needs bundle or cheaper sourcing). Gross≈10%. Est Amazon net≈-8% after ~18% fees.</t>
  </si>
  <si>
    <t>Title: Zynq-7000 Dev Board | Verified/QA Tested | Quick‑Start + Support | GST Invoice
Bullets:
- Key specs: Dual ARM A9 + FPGA fabric, DDR3
- Use case: Embedded + HW accel
- Pre‑tested unit with packaging QC sticker + photo proof before dispatch.
- Support: setup guide (QR) + WhatsApp troubleshooting; replacement DOA policy.
- Ideal for startups/labs/training centers; bulk pricing available.</t>
  </si>
  <si>
    <t>Risky at planned sell (needs bundle or cheaper sourcing). Gross≈10%. Est Amazon net≈-8% after ~18% fees. | Channels: Direct (B2B) + IndiaMART RFQs; avoid Amazon unless bundled/priced higher; also local resellers. | Bundle: Bundle: correct power adapter + USB cable + JTAG cable option + PMOD starter pack + demo bitstream + quick‑start + onboarding call.</t>
  </si>
  <si>
    <t>Demand 2.0/40 (units=1.0); Margin 0.0/30 (GM%=-2867187928.5); Channel 0.0/10 (AmazonNet%=NA); Sourcing 6.2/10 (mode=Both); Lead 10.0/10 (days=7.0); Fit 10.0/10; Penalty 0.0/10.</t>
  </si>
  <si>
    <t>FPGA-SPARTAN6</t>
  </si>
  <si>
    <t>Spartan-6 Dev Board</t>
  </si>
  <si>
    <t>XC6SLX9/16</t>
  </si>
  <si>
    <t>Spartan-6 board</t>
  </si>
  <si>
    <t>Low cost FPGA, basic IO</t>
  </si>
  <si>
    <t>Education, legacy designs</t>
  </si>
  <si>
    <t>Students, Colleges</t>
  </si>
  <si>
    <t>Local</t>
  </si>
  <si>
    <t>https://www.amazon.in/Numato-Lab-Spartan-Development-Board/dp/B00JA2FAVS</t>
  </si>
  <si>
    <t>https://www.alibaba.com/showroom/spartan-fpga-development-board.html</t>
  </si>
  <si>
    <t>Title: Spartan-6 Dev Board | Verified/QA Tested | Quick‑Start + Support | GST Invoice
Bullets:
- Key specs: Low cost FPGA, basic IO
- Use case: Education, legacy designs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</si>
  <si>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(GM%=-9577847408.9); Channel 5.0/10 (AmazonNet%=NA); Sourcing 6.2/10 (mode=Local); Lead 10.0/10 (days=7.0); Fit 10.0/10; Penalty 0.0/10.</t>
  </si>
  <si>
    <t>FPGA-ICE40UP5K</t>
  </si>
  <si>
    <t>iCE40 UltraPlus Dev Board</t>
  </si>
  <si>
    <t>Lattice</t>
  </si>
  <si>
    <t>iCE40UP5K</t>
  </si>
  <si>
    <t>UP5K board</t>
  </si>
  <si>
    <t>Low-power FPGA, DSP blocks</t>
  </si>
  <si>
    <t>Ultra-low power edge, learning</t>
  </si>
  <si>
    <t>Makers, Startups</t>
  </si>
  <si>
    <t>https://www.amazon.in/s?k=iCE40+UltraPlus+Dev+Board+iCE40UP5K</t>
  </si>
  <si>
    <t>https://www.alibaba.com/trade/search?SearchText=iCE40+UltraPlus+Dev+Board+iCE40UP5K</t>
  </si>
  <si>
    <t>Works (healthy margin). Gross≈30%. Est Amazon net≈12% after ~18% fees.</t>
  </si>
  <si>
    <t>Amazon (as verified kit) + Direct (B2B) + IndiaMART; also Website/WhatsApp + LinkedIn outreach.</t>
  </si>
  <si>
    <t>Title: iCE40 UltraPlus Dev Board | Verified/QA Tested | Quick‑Start + Support | GST Invoice
Bullets:
- Key specs: Low-power FPGA, DSP blocks
- Use case: Ultra-low power edge, learning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</si>
  <si>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Gross≈30%. Est Amazon net≈12% after ~18% fees. | Channels: Amazon (as verified kit) + Direct (B2B) + IndiaMART; also Website/WhatsApp + LinkedIn outreach. | Bundle: Bundle: correct power adapter + USB cable + JTAG cable option + PMOD starter pack + demo bitstream + quick‑start + onboarding call.</t>
  </si>
  <si>
    <t>Demand 4.0/40 (units=2.0); Margin 0.0/30 (GM%=-19046176089.0); Channel 5.0/10 (AmazonNet%=NA); Sourcing 6.2/10 (mode=Both); Lead 10.0/10 (days=7.0); Fit 10.0/10; Penalty 0.0/10.</t>
  </si>
  <si>
    <t>FPGA-ECP5-25F</t>
  </si>
  <si>
    <t>ECP5 Dev Board</t>
  </si>
  <si>
    <t>LFE5U-25F</t>
  </si>
  <si>
    <t>25F board</t>
  </si>
  <si>
    <t>ECP5 FPGA, SerDes, DDR3 optional</t>
  </si>
  <si>
    <t>Edge video, custom accel</t>
  </si>
  <si>
    <t>https://www.amazon.in/Lattice-ECP5-FPGA-RISC-V-Development/dp/B0BKF9NDGZ</t>
  </si>
  <si>
    <t>https://m.alibaba.com/showroom/ecp5-fpga.html</t>
  </si>
  <si>
    <t>Title: ECP5 Dev Board | Verified/QA Tested | Quick‑Start + Support | GST Invoice
Bullets:
- Key specs: ECP5 FPGA, SerDes, DDR3 optional
- Use case: Edge video, custom accel
- Pre‑tested unit with packaging QC sticker + photo proof before dispatch.
- Support: setup guide (QR) + WhatsApp troubleshooting; replacement DOA policy.
- Ideal for startups/labs/training centers; bulk pricing available.</t>
  </si>
  <si>
    <t>Demand 4.0/40 (units=2.0); Margin 0.0/30 (GM%=-9721464621.5); Channel 5.0/10 (AmazonNet%=NA); Sourcing 0.0/10 (mode=Import); Lead 10.0/10 (days=7.0); Fit 10.0/10; Penalty 0.0/10.</t>
  </si>
  <si>
    <t>FPGA-ECP5-45F</t>
  </si>
  <si>
    <t>LFE5U-45F</t>
  </si>
  <si>
    <t>45F board</t>
  </si>
  <si>
    <t>Mid-range ECP5, better fabric</t>
  </si>
  <si>
    <t>Edge compute, camera pipelines</t>
  </si>
  <si>
    <t>https://www.amazon.in/s?k=ECP5+Dev+Board+LFE5U-45F</t>
  </si>
  <si>
    <t>https://www.alibaba.com/trade/search?SearchText=ECP5+Dev+Board+LFE5U-45F</t>
  </si>
  <si>
    <t>Works for Direct/B2B; marketplaces need bundle/price-up. Gross≈18%. Est Amazon net≈0% after ~18% fees.</t>
  </si>
  <si>
    <t>Title: ECP5 Dev Board | Verified/QA Tested | Quick‑Start + Support | GST Invoice
Bullets:
- Key specs: Mid-range ECP5, better fabric
- Use case: Edge compute, camera pipelines
- Pre‑tested unit with packaging QC sticker + photo proof before dispatch.
- Support: setup guide (QR) + WhatsApp troubleshooting; replacement DOA policy.
- Ideal for startups/labs/training centers; bulk pricing available.</t>
  </si>
  <si>
    <t>Works for Direct/B2B; marketplaces need bundle/price-up. Gross≈18%. Est Amazon net≈0% after ~18% fees. | Channels: Direct (B2B) + IndiaMART; Amazon only if bundled/priced higher. | Bundle: Bundle: correct power adapter + USB cable + JTAG cable option + PMOD starter pack + demo bitstream + quick‑start + onboarding call.</t>
  </si>
  <si>
    <t>Demand 0.0/40 (units=0.0); Margin 0.0/30 (GM%=-8713903711.9); Channel 5.0/10 (AmazonNet%=NA); Sourcing 0.0/10 (mode=Import); Lead 10.0/10 (days=7.0); Fit 10.0/10; Penalty 0.0/10.</t>
  </si>
  <si>
    <t>FPGA-ECP5-85F</t>
  </si>
  <si>
    <t>LFE5U-85F</t>
  </si>
  <si>
    <t>85F board</t>
  </si>
  <si>
    <t>High-density ECP5</t>
  </si>
  <si>
    <t>Advanced edge accel</t>
  </si>
  <si>
    <t>Startups</t>
  </si>
  <si>
    <t>https://www.amazon.in/s?k=ECP5+Dev+Board+LFE5U-85F</t>
  </si>
  <si>
    <t>https://www.alibaba.com/trade/search?SearchText=ECP5+Dev+Board+LFE5U-85F</t>
  </si>
  <si>
    <t>Title: ECP5 Dev Board | Verified/QA Tested | Quick‑Start + Support | GST Invoice
Bullets:
- Key specs: High-density ECP5
- Use case: Advanced edge accel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</si>
  <si>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(GM%=-7406808788.3); Channel 5.0/10 (AmazonNet%=NA); Sourcing 0.0/10 (mode=Import); Lead 10.0/10 (days=7.0); Fit 10.0/10; Penalty 0.0/10.</t>
  </si>
  <si>
    <t>FPGA-MAX10</t>
  </si>
  <si>
    <t>MAX10 Dev Board</t>
  </si>
  <si>
    <t>Intel/Altera</t>
  </si>
  <si>
    <t>MAX10</t>
  </si>
  <si>
    <t>MAX10 kit</t>
  </si>
  <si>
    <t>Low-power FPGA + ADC</t>
  </si>
  <si>
    <t>Industrial control</t>
  </si>
  <si>
    <t>Colleges, Industry</t>
  </si>
  <si>
    <t>https://www.amazon.in/Altera-MAX10-FPGA-Development-Board/dp/B07B4WPKGS</t>
  </si>
  <si>
    <t>https://www.alibaba.com/product-detail/DK-DEV-10M50F484-B-MAX-10_1601294733718.html</t>
  </si>
  <si>
    <t>Works for Direct/B2B; marketplaces need bundle/price-up. Gross≈18%. Est Amazon net≈-0% after ~18% fees.</t>
  </si>
  <si>
    <t>Title: MAX10 Dev Board | Verified/QA Tested | Quick‑Start + Support | GST Invoice
Bullets:
- Key specs: Low-power FPGA + ADC
- Use case: Industrial control
- Pre‑tested unit with packaging QC sticker + photo proof before dispatch.
- Support: setup guide (QR) + WhatsApp troubleshooting; replacement DOA policy.
- Ideal for startups/labs/training centers; bulk pricing available.</t>
  </si>
  <si>
    <t>Works for Direct/B2B; marketplaces need bundle/price-up. Gross≈18%. Est Amazon net≈-0% after ~18% fees. | Channels: Direct (B2B) + IndiaMART; Amazon only if bundled/priced higher. | Bundle: Bundle: correct power adapter + USB cable + JTAG cable option + PMOD starter pack + demo bitstream + quick‑start + onboarding call.</t>
  </si>
  <si>
    <t>Demand 0.0/40 (units=0.0); Margin 0.0/30 (GM%=-1147842057967056768.0); Channel 5.0/10 (AmazonNet%=NA); Sourcing 6.2/10 (mode=Both); Lead 10.0/10 (days=7.0); Fit 10.0/10; Penalty 0.0/10.</t>
  </si>
  <si>
    <t>FPGA-CYC5GX</t>
  </si>
  <si>
    <t>Cyclone V GX Dev Board</t>
  </si>
  <si>
    <t>Cyclone V GX</t>
  </si>
  <si>
    <t>GX board</t>
  </si>
  <si>
    <t>Transceivers, DDR3/DDR4</t>
  </si>
  <si>
    <t>High-speed IO prototypes</t>
  </si>
  <si>
    <t>Industry, Labs</t>
  </si>
  <si>
    <t>https://www.amazon.in/s?k=Cyclone+V+GX+Dev+Board+Cyclone+V+GX</t>
  </si>
  <si>
    <t>https://www.alibaba.com/trade/search?SearchText=Cyclone+V+GX+Dev+Board+Cyclone+V+GX</t>
  </si>
  <si>
    <t>C</t>
  </si>
  <si>
    <t>Risky at planned sell (needs bundle or cheaper sourcing). Gross≈13%. Est Amazon net≈-5% after ~18% fees.</t>
  </si>
  <si>
    <t>Title: Cyclone V GX Dev Board | Verified/QA Tested | Quick‑Start + Support | GST Invoice
Bullets:
- Key specs: Transceivers, DDR3/DDR4
- Use case: High-speed IO prototypes
- Pre‑tested unit with packaging QC sticker + photo proof before dispatch.
- Support: setup guide (QR) + WhatsApp troubleshooting; replacement DOA policy.
- Ideal for startups/labs/training centers; bulk pricing available.</t>
  </si>
  <si>
    <t>Risky at planned sell (needs bundle or cheaper sourcing). Gross≈13%. Est Amazon net≈-5% after ~18% fees. | Channels: Direct (B2B) + IndiaMART RFQs; avoid Amazon unless bundled/priced higher; also local resellers. | Bundle: Bundle: correct power adapter + USB cable + JTAG cable option + PMOD starter pack + demo bitstream + quick‑start + onboarding call.</t>
  </si>
  <si>
    <t>Low</t>
  </si>
  <si>
    <t>Demand 0.0/40 (units=0.0); Margin 0.0/30 (GM%=-529100529100529024.0); Channel 0.0/10 (AmazonNet%=NA); Sourcing 0.0/10 (mode=Import); Lead 10.0/10 (days=7.0); Fit 10.0/10; Penalty 0.0/10.</t>
  </si>
  <si>
    <t>FPGA-CYC10LP</t>
  </si>
  <si>
    <t>Cyclone 10 LP Dev Board</t>
  </si>
  <si>
    <t>Cyclone 10 LP</t>
  </si>
  <si>
    <t>LP kit</t>
  </si>
  <si>
    <t>Low-power FPGA</t>
  </si>
  <si>
    <t>Education, control</t>
  </si>
  <si>
    <t>Colleges</t>
  </si>
  <si>
    <t>https://www.amazon.in/s?k=Cyclone+10+LP+Dev+Board+Cyclone+10+LP</t>
  </si>
  <si>
    <t>https://www.alibaba.com/product-detail/Intel-Cyclone-10-LP-FPGA-Development_1601280047239.html</t>
  </si>
  <si>
    <t>Title: Cyclone 10 LP Dev Board | Verified/QA Tested | Quick‑Start + Support | GST Invoice
Bullets:
- Key specs: Low-power FPGA
- Use case: Education, control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</si>
  <si>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(GM%=-1236858378786950912.0); Channel 5.0/10 (AmazonNet%=NA); Sourcing 0.0/10 (mode=Import); Lead 10.0/10 (days=7.0); Fit 10.0/10; Penalty 0.0/10.</t>
  </si>
  <si>
    <t>FPGA-ZU-DEV</t>
  </si>
  <si>
    <t>Zynq UltraScale+ Dev Kit</t>
  </si>
  <si>
    <t>ZU3EG/ZU5EV</t>
  </si>
  <si>
    <t>UltraScale+ kit</t>
  </si>
  <si>
    <t>ARM A53 + FPGA fabric</t>
  </si>
  <si>
    <t>High-end edge compute</t>
  </si>
  <si>
    <t>Industry, funded startups</t>
  </si>
  <si>
    <t>https://www.amazon.in/s?k=Zynq+UltraScale%2B+Dev+Kit+ZU3EG%2FZU5EV</t>
  </si>
  <si>
    <t>https://www.alibaba.com/trade/search?SearchText=Zynq+UltraScale%2B+Dev+Kit+ZU3EG%2FZU5EV</t>
  </si>
  <si>
    <t>Risky at planned sell (needs bundle or cheaper sourcing). Gross≈12%. Est Amazon net≈-6% after ~18% fees.</t>
  </si>
  <si>
    <t>Title: Zynq UltraScale+ Dev Kit | Verified/QA Tested | Quick‑Start + Support | GST Invoice
Bullets:
- Key specs: ARM A53 + FPGA fabric
- Use case: High-end edge compute
- Pre‑tested unit with packaging QC sticker + photo proof before dispatch.
- Support: setup guide (QR) + WhatsApp troubleshooting; replacement DOA policy.
- Ideal for startups/labs/training centers; bulk pricing available.</t>
  </si>
  <si>
    <t>Risky at planned sell (needs bundle or cheaper sourcing). Gross≈12%. Est Amazon net≈-6% after ~18% fees. | Channels: Direct (B2B) + IndiaMART RFQs; avoid Amazon unless bundled/priced higher; also local resellers. | Bundle: Bundle: correct power adapter + USB cable + JTAG cable option + PMOD starter pack + demo bitstream + quick‑start + onboarding call.</t>
  </si>
  <si>
    <t>Demand 0.0/40 (units=0.0); Margin 0.0/30 (GM%=-160137964794062464.0); Channel 0.0/10 (AmazonNet%=NA); Sourcing 0.0/10 (mode=Import); Lead 10.0/10 (days=7.0); Fit 10.0/10; Penalty 0.0/10.</t>
  </si>
  <si>
    <t>SOM-ULTRA96V2</t>
  </si>
  <si>
    <t>SOM Module</t>
  </si>
  <si>
    <t>SOM</t>
  </si>
  <si>
    <t>Ultra96-V2 SOM</t>
  </si>
  <si>
    <t>Avnet</t>
  </si>
  <si>
    <t>Ultra96-V2</t>
  </si>
  <si>
    <t>Zynq MPSoC</t>
  </si>
  <si>
    <t>Zynq UltraScale+ MPSoC, WiFi/BT</t>
  </si>
  <si>
    <t>Embedded AI prototyping</t>
  </si>
  <si>
    <t>https://www.amazon.in/s?k=Ultra96-V2+SOM+Ultra96-V2</t>
  </si>
  <si>
    <t>https://www.alibaba.com/trade/search?SearchText=Ultra96-V2+SOM+Ultra96-V2</t>
  </si>
  <si>
    <t>Risky at planned sell (needs bundle or cheaper sourcing). Gross≈14%. Est Amazon net≈-4% after ~18% fees.</t>
  </si>
  <si>
    <t>Add: essentials kit (cables/adapters) + quick‑start card + basic support + 7‑day DOA replacement.</t>
  </si>
  <si>
    <t>Title: Ultra96-V2 SOM | Verified/QA Tested | Quick‑Start + Support | GST Invoice
Bullets:
- Key specs: Zynq UltraScale+ MPSoC, WiFi/BT
- Use case: Embedded AI prototyping
- Pre‑tested unit with packaging QC sticker + photo proof before dispatch.
- Support: setup guide (QR) + WhatsApp troubleshooting; replacement DOA policy.
- Ideal for startups/labs/training centers; bulk pricing available.</t>
  </si>
  <si>
    <t>electronics module, dev kit, maker kit, embedded components</t>
  </si>
  <si>
    <t>Marketplace return policy; 7 days DOA replacement.</t>
  </si>
  <si>
    <t>30 days replacement for DOA.</t>
  </si>
  <si>
    <t>Risky at planned sell (needs bundle or cheaper sourcing). Gross≈14%. Est Amazon net≈-4% after ~18% fees. | Channels: Direct (B2B) + IndiaMART RFQs; avoid Amazon unless bundled/priced higher; also local resellers. | Bundle: Add: essentials kit (cables/adapters) + quick‑start card + basic support + 7‑day DOA replacement.</t>
  </si>
  <si>
    <t>Demand 0.0/40 (units=0.0); Margin 0.0/30 (GM%=-496189968916285568.0); Channel 0.0/10 (AmazonNet%=NA); Sourcing 0.0/10 (mode=Import); Lead 10.0/10 (days=7.0); Fit 6.0/10; Penalty 5.0/10.</t>
  </si>
  <si>
    <t>SOM-KRIA-KV260</t>
  </si>
  <si>
    <t>Kria KV260 Vision AI Starter Kit</t>
  </si>
  <si>
    <t>KV260</t>
  </si>
  <si>
    <t>Vision AI kit</t>
  </si>
  <si>
    <t>Kria SOM + carrier, vision ready</t>
  </si>
  <si>
    <t>Vision AI prototypes</t>
  </si>
  <si>
    <t>https://www.amazon.in/s?k=Kria+KV260+Vision+AI+Starter+Kit+KV260</t>
  </si>
  <si>
    <t>https://www.alibaba.com/product-detail/Original-Development-Board-Modules-KRIA-KV260_1600861591580.html</t>
  </si>
  <si>
    <t>Title: Kria KV260 Vision AI Starter Kit | Verified/QA Tested | Quick‑Start + Support | GST Invoice
Bullets:
- Key specs: Kria SOM + carrier, vision ready
- Use case: Vision AI prototypes
- Pre‑tested unit with packaging QC sticker + photo proof before dispatch.
- Support: setup guide (QR) + WhatsApp troubleshooting; replacement DOA policy.
- Ideal for startups/labs/training centers; bulk pricing available.</t>
  </si>
  <si>
    <t>Risky at planned sell (needs bundle or cheaper sourcing). Gross≈13%. Est Amazon net≈-5% after ~18% fees. | Channels: Direct (B2B) + IndiaMART RFQs; avoid Amazon unless bundled/priced higher; also local resellers. | Bundle: Add: essentials kit (cables/adapters) + quick‑start card + basic support + 7‑day DOA replacement.</t>
  </si>
  <si>
    <t>Demand 0.0/40 (units=0.0); Margin 0.0/30 (GM%=-420875419864309632.0); Channel 0.0/10 (AmazonNet%=NA); Sourcing 0.0/10 (mode=Import); Lead 10.0/10 (days=7.0); Fit 10.0/10; Penalty 5.0/10.</t>
  </si>
  <si>
    <t>SOM-ZYBO-Z7</t>
  </si>
  <si>
    <t>Zybo Z7-20</t>
  </si>
  <si>
    <t>Digilent</t>
  </si>
  <si>
    <t>Zynq-7020</t>
  </si>
  <si>
    <t>Zynq 7020 board</t>
  </si>
  <si>
    <t>Embedded FPGA learning</t>
  </si>
  <si>
    <t>Students, Labs</t>
  </si>
  <si>
    <t>https://www.alibaba.com/trade/search?SearchText=Zybo+Z7-20+Zybo+Z7-20</t>
  </si>
  <si>
    <t>Title: Zybo Z7-20 | Verified/QA Tested | Quick‑Start + Support | GST Invoice
Bullets:
- Key specs: Zynq 7020 board
- Use case: Embedded FPGA learning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</si>
  <si>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(GM%=-659657800657802240.0); Channel 0.0/10 (AmazonNet%=NA); Sourcing 0.0/10 (mode=Import); Lead 10.0/10 (days=7.0); Fit 6.0/10; Penalty 5.0/10.</t>
  </si>
  <si>
    <t>SOM-ARTY-A7</t>
  </si>
  <si>
    <t>Arty A7-35T</t>
  </si>
  <si>
    <t>Artix-7</t>
  </si>
  <si>
    <t>Artix-7 + DDR3</t>
  </si>
  <si>
    <t>FPGA education + prototypes</t>
  </si>
  <si>
    <t>Title: Arty A7-35T | Verified/QA Tested | Quick‑Start + Support | GST Invoice
Bullets:
- Key specs: Artix-7 + DDR3
- Use case: FPGA education + prototypes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</si>
  <si>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(GM%=-763187427427429760.0); Channel 0.0/10 (AmazonNet%=NA); Sourcing 0.0/10 (mode=Import); Lead 10.0/10 (days=7.0); Fit 6.0/10; Penalty 5.0/10.</t>
  </si>
  <si>
    <t>SOM-ZTURN</t>
  </si>
  <si>
    <t>Z-turn Board</t>
  </si>
  <si>
    <t>MYIR</t>
  </si>
  <si>
    <t>Z-turn</t>
  </si>
  <si>
    <t>Zynq-7010/7020</t>
  </si>
  <si>
    <t>Zynq board low cost</t>
  </si>
  <si>
    <t>Embedded accel</t>
  </si>
  <si>
    <t>https://www.amazon.in/s?k=Z-turn+Board+Z-turn</t>
  </si>
  <si>
    <t>https://www.alibaba.com/trade/search?SearchText=Z-turn+Board+Z-turn</t>
  </si>
  <si>
    <t>Title: Z-turn Board | Verified/QA Tested | Quick‑Start + Support | GST Invoice
Bullets:
- Key specs: Zynq board low cost
- Use case: Embedded accel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</si>
  <si>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(GM%=-982800979357739392.0); Channel 0.0/10 (AmazonNet%=NA); Sourcing 0.0/10 (mode=Import); Lead 10.0/10 (days=7.0); Fit 6.0/10; Penalty 5.0/10.</t>
  </si>
  <si>
    <t>SOM-TRENZ-TE</t>
  </si>
  <si>
    <t>Trenz TE Series (Zynq SOM)</t>
  </si>
  <si>
    <t>Trenz</t>
  </si>
  <si>
    <t>TE0720/TE0715</t>
  </si>
  <si>
    <t>Zynq SOM</t>
  </si>
  <si>
    <t>SOM for carrier integration</t>
  </si>
  <si>
    <t>Productization</t>
  </si>
  <si>
    <t>https://www.amazon.in/s?k=Trenz+TE+Series+%28Zynq+SOM%29+TE0720%2FTE0715</t>
  </si>
  <si>
    <t>https://www.alibaba.com/trade/search?SearchText=Trenz+TE+Series+%28Zynq+SOM%29+TE0720%2FTE0715</t>
  </si>
  <si>
    <t>Works for Direct/B2B; marketplaces need bundle/price-up. Gross≈15%. Est Amazon net≈-3% after ~18% fees.</t>
  </si>
  <si>
    <t>Title: Trenz TE Series (Zynq SOM) | Verified/QA Tested | Quick‑Start + Support | GST Invoice
Bullets:
- Key specs: SOM for carrier integration
- Use case: Productization
- Pre‑tested unit with packaging QC sticker + photo proof before dispatch.
- Support: setup guide (QR) + WhatsApp troubleshooting; replacement DOA policy.
- Ideal for startups/labs/training centers; bulk pricing available.</t>
  </si>
  <si>
    <t>Works for Direct/B2B; marketplaces need bundle/price-up. Gross≈15%. Est Amazon net≈-3% after ~18% fees. | Channels: Direct (B2B) + IndiaMART; Amazon only if bundled/priced higher. | Bundle: Bundle: correct power adapter + USB cable + JTAG cable option + PMOD starter pack + demo bitstream + quick‑start + onboarding call.</t>
  </si>
  <si>
    <t>Demand 0.0/40 (units=0.0); Margin 0.0/30 (GM%=-913900910434247040.0); Channel 5.0/10 (AmazonNet%=NA); Sourcing 0.0/10 (mode=Import); Lead 10.0/10 (days=7.0); Fit 10.0/10; Penalty 5.0/10.</t>
  </si>
  <si>
    <t>SOM-COLORLIGHT-ECP5</t>
  </si>
  <si>
    <t>Colorlight i5 ECP5 Board</t>
  </si>
  <si>
    <t>Colorlight</t>
  </si>
  <si>
    <t>i5</t>
  </si>
  <si>
    <t>ECP5-45F/85F</t>
  </si>
  <si>
    <t>Low-cost ECP5 platform</t>
  </si>
  <si>
    <t>Open-source FPGA dev</t>
  </si>
  <si>
    <t>Works for Direct/B2B; marketplaces need bundle/price-up. Gross≈24%. Est Amazon net≈6% after ~18% fees.</t>
  </si>
  <si>
    <t>Title: Colorlight i5 ECP5 Board | Verified/QA Tested | Quick‑Start + Support | GST Invoice
Bullets:
- Key specs: Low-cost ECP5 platform
- Use case: Open-source FPGA dev
- Pre‑tested unit with packaging QC sticker + photo proof before dispatch.
- Support: setup guide (QR) + WhatsApp troubleshooting; replacement DOA policy.
- Ideal for startups/labs/training centers; bulk pricing available.</t>
  </si>
  <si>
    <t>Works for Direct/B2B; marketplaces need bundle/price-up. Gross≈24%. Est Amazon net≈6% after ~18% fees. | Channels: Amazon (as verified kit) + Direct (B2B) + IndiaMART; also Website/WhatsApp + LinkedIn outreach. | Bundle: Add: essentials kit (cables/adapters) + quick‑start card + basic support + 7‑day DOA replacement.</t>
  </si>
  <si>
    <t>Demand 0.0/40 (units=0.0); Margin 0.0/30 (GM%=-2126528433696863232.0); Channel 5.0/10 (AmazonNet%=NA); Sourcing 0.0/10 (mode=Import); Lead 10.0/10 (days=7.0); Fit 6.0/10; Penalty 5.0/10.</t>
  </si>
  <si>
    <t>AI-JETSON-NANO</t>
  </si>
  <si>
    <t>AI Edge Board</t>
  </si>
  <si>
    <t>NVIDIA Jetson Nano Dev Kit</t>
  </si>
  <si>
    <t>NVIDIA</t>
  </si>
  <si>
    <t>Jetson Nano</t>
  </si>
  <si>
    <t>4GB kit</t>
  </si>
  <si>
    <t>128-core GPU, ARM CPU</t>
  </si>
  <si>
    <t>Edge inference, vision</t>
  </si>
  <si>
    <t>AI startups, Students</t>
  </si>
  <si>
    <t>Local/Import</t>
  </si>
  <si>
    <t>https://www.amazon.in/NVIDIA-Jetson-Nano-Developer-Kit/dp/B0D3MFRG2R</t>
  </si>
  <si>
    <t>https://robu.in/product/okdo-nvidia-jetson-nano-c100-developer-kit/</t>
  </si>
  <si>
    <t>https://www.alibaba.com/showroom/jetson-nano.html</t>
  </si>
  <si>
    <t>Robu price for Jetson Nano 2GB kit incl GST (check 4GB vs 2GB). (2025-12-20)</t>
  </si>
  <si>
    <t>MACFOS LIMITED (Robu.in)</t>
  </si>
  <si>
    <t>https://robu.in/</t>
  </si>
  <si>
    <t>Survey No. 78/1, Sumant Building, Dynamic Logistics Trade Park, Dighi, Bhosari-Alandi Road, Pune, Maharashtra 411015, India</t>
  </si>
  <si>
    <t>Phone: 1800 266 6123 / 020 6819 7600 ; Email: info@robu.in</t>
  </si>
  <si>
    <t>Robu.in</t>
  </si>
  <si>
    <t>Robu listing is out of stock at time of check.</t>
  </si>
  <si>
    <t>Works (healthy margin). Gross≈28%. Est Amazon net≈10% after ~18% fees.</t>
  </si>
  <si>
    <t>Bundle: official/verified power supply + high‑end SD/SSD + heatsink/fan (if needed) + camera options + enclosure + quick‑start + remote setup session.</t>
  </si>
  <si>
    <t>Title: NVIDIA Jetson Nano Dev Kit | Verified/QA Tested | Quick‑Start + Support | GST Invoice
Bullets:
- Key specs: 128-core GPU, ARM CPU
- Use case: Edge inference, vision
- Pre‑tested unit with packaging QC sticker + photo proof before dispatch.
- Support: setup guide (QR) + WhatsApp troubleshooting; replacement DOA policy.
- Ideal for startups/labs/training centers; bulk pricing available.</t>
  </si>
  <si>
    <t>jetson orin, jetson nano, edge ai dev kit, nvidia jetson, vision ai kit, cuda devkit, ros2 ai, edge inference</t>
  </si>
  <si>
    <t>Partial (needs sample + doc evidence)</t>
  </si>
  <si>
    <t>Reseller / Marketplace Seller</t>
  </si>
  <si>
    <t>Marketplace seller (badge depends on platform); prefer GST invoice + established store ratings.</t>
  </si>
  <si>
    <t>Y</t>
  </si>
  <si>
    <t>7 days DOA replacement; channel return policy applies.</t>
  </si>
  <si>
    <t>3 months replacement for functional failure (conditions apply).</t>
  </si>
  <si>
    <t>Bangalore: 48–72 hrs replacement (stock permitting); else 7–14 days via supplier.</t>
  </si>
  <si>
    <t>Robu.in | https://robu.in/product/okdo-nvidia-jetson-nano-c100-developer-kit/</t>
  </si>
  <si>
    <t>Works (healthy margin). Gross≈28%. Est Amazon net≈10% after ~18% fees. | Channels: Amazon (as verified kit) + Direct (B2B) + IndiaMART; also Website/WhatsApp + LinkedIn outreach. | Bundle: Bundle: official/verified power supply + high‑end SD/SSD + heatsink/fan (if needed) + camera options + enclosure + quick‑start + remote setup session.</t>
  </si>
  <si>
    <t>Demand 2.0/40 (units=1.0); Margin 0.3/30 (GM%=0.4); Channel 5.0/10 (AmazonNet%=NA); Sourcing 6.2/10 (mode=Both); Lead 10.0/10 (days=7.0); Fit 10.0/10; Penalty 0.0/10.</t>
  </si>
  <si>
    <t>AI-JETSON-ORIN-NX</t>
  </si>
  <si>
    <t>NVIDIA Jetson Orin NX Kit</t>
  </si>
  <si>
    <t>Orin NX</t>
  </si>
  <si>
    <t>8/16GB</t>
  </si>
  <si>
    <t>Modern edge AI module</t>
  </si>
  <si>
    <t>Edge LLM/vision</t>
  </si>
  <si>
    <t>AI startups</t>
  </si>
  <si>
    <t>https://www.amazon.in/Jetson-Orin-NX-Super-Developer/dp/B0D3MF7V3Y</t>
  </si>
  <si>
    <t>https://robu.in/product/nvidia-jetson-orin-nx-8gb-module/</t>
  </si>
  <si>
    <t>https://www.alibaba.com/showroom/jetson-orin-nx.html</t>
  </si>
  <si>
    <t>Robu listing shows out of stock / restocking.</t>
  </si>
  <si>
    <t>Title: NVIDIA Jetson Orin NX Kit | Verified/QA Tested | Quick‑Start + Support | GST Invoice
Bullets:
- Key specs: Modern edge AI module
- Use case: Edge LLM/vision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</si>
  <si>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https://robu.in/product/nvidia-jetson-orin-nx-8gb-module/</t>
  </si>
  <si>
    <t>Demand 0.0/40 (units=0.0); Margin 0.3/30 (GM%=0.4); Channel 5.0/10 (AmazonNet%=NA); Sourcing 0.0/10 (mode=Import); Lead 10.0/10 (days=7.0); Fit 10.0/10; Penalty 0.0/10.</t>
  </si>
  <si>
    <t>AI-JETSON-ORIN-AGX</t>
  </si>
  <si>
    <t>NVIDIA Jetson Orin AGX Dev Kit</t>
  </si>
  <si>
    <t>Orin AGX</t>
  </si>
  <si>
    <t>Dev kit</t>
  </si>
  <si>
    <t>Robotics/Industrial AI</t>
  </si>
  <si>
    <t>AI startups, Industry</t>
  </si>
  <si>
    <t>https://www.amazon.in/Nvidia-Jetson-AGX-Orin-Developer/dp/B0D3MF7V3Z</t>
  </si>
  <si>
    <t>https://robu.in/product/nvidia-jetson-agx-orin-64gb-developer-kit/</t>
  </si>
  <si>
    <t>https://www.alibaba.com/blog/jetson-agx-orin-modules-guide_4915.html</t>
  </si>
  <si>
    <t>Price captured from Robu listing (AGX Orin 64GB Dev Kit). Verify exact kit variant (32GB vs 64GB).</t>
  </si>
  <si>
    <t>Title: NVIDIA Jetson Orin AGX Dev Kit | Verified/QA Tested | Quick‑Start + Support | GST Invoice
Bullets:
- Key specs: High-end edge compute
- Use case: Robotics/Industrial AI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</si>
  <si>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https://robu.in/product/nvidia-jetson-agx-orin-64gb-developer-kit/</t>
  </si>
  <si>
    <t>Demand 0.0/40 (units=0.0); Margin 0.3/30 (GM%=0.3); Channel 5.0/10 (AmazonNet%=NA); Sourcing 0.0/10 (mode=Import); Lead 10.0/10 (days=7.0); Fit 10.0/10; Penalty 0.0/10.</t>
  </si>
  <si>
    <t>AI-CORAL-DEV</t>
  </si>
  <si>
    <t>Google Coral Dev Board</t>
  </si>
  <si>
    <t>Google</t>
  </si>
  <si>
    <t>Coral Dev Board</t>
  </si>
  <si>
    <t>Edge TPU</t>
  </si>
  <si>
    <t>Edge TPU accelerator</t>
  </si>
  <si>
    <t>Low-power inference</t>
  </si>
  <si>
    <t>Startups, Makers</t>
  </si>
  <si>
    <t>https://www.amazon.in/Google-Coral-Dev-Board/dp/B08DFP4VY8</t>
  </si>
  <si>
    <t>https://robu.in/product/coral-g650-03324-01-development-board-mini-mt8167s-soc-mcu-arm-cortex-a35-mcu/</t>
  </si>
  <si>
    <t>https://www.alibaba.com/showroom/coral-tpu.html</t>
  </si>
  <si>
    <t>Coral Dev Board Mini used as closest match.</t>
  </si>
  <si>
    <t>Title: Google Coral Dev Board | Verified/QA Tested | Quick‑Start + Support | GST Invoice
Bullets:
- Key specs: Edge TPU accelerator
- Use case: Low-power inference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</si>
  <si>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https://robu.in/product/coral-g650-03324-01-development-board-mini-mt8167s-soc-mcu-arm-cortex-a35-mcu/</t>
  </si>
  <si>
    <t>Demand 2.0/40 (units=1.0); Margin 0.3/30 (GM%=0.4); Channel 5.0/10 (AmazonNet%=NA); Sourcing 0.0/10 (mode=Import); Lead 10.0/10 (days=7.0); Fit 10.0/10; Penalty 0.0/10.</t>
  </si>
  <si>
    <t>AI-RK3588</t>
  </si>
  <si>
    <t>Rockchip RK3588 Dev Board</t>
  </si>
  <si>
    <t>Rockchip</t>
  </si>
  <si>
    <t>RK3588</t>
  </si>
  <si>
    <t>8GB typical</t>
  </si>
  <si>
    <t>ARM + NPU, HDMI/MIPI</t>
  </si>
  <si>
    <t>Vision AI gateway</t>
  </si>
  <si>
    <t>https://www.amazon.in/s?k=Rockchip+RK3588+Dev+Board+RK3588</t>
  </si>
  <si>
    <t>https://www.alibaba.com/showroom/rk3588.html</t>
  </si>
  <si>
    <t>Shenzhen Rongpin Electronic Technology Co., Ltd.</t>
  </si>
  <si>
    <t>https://www.alibaba.com/product-detail/Rockchip-RK3588-Development-Board-8K-Rongpin_1600529003431.html</t>
  </si>
  <si>
    <t>Risky at planned sell (needs bundle or cheaper sourcing). Gross≈11%. Est Amazon net≈-7% after ~18% fees.</t>
  </si>
  <si>
    <t>Title: Rockchip RK3588 Dev Board | Verified/QA Tested | Quick‑Start + Support | GST Invoice
Bullets:
- Key specs: ARM + NPU, HDMI/MIPI
- Use case: Vision AI gateway
- Pre‑tested unit with packaging QC sticker + photo proof before dispatch.
- Support: setup guide (QR) + WhatsApp troubleshooting; replacement DOA policy.
- Ideal for startups/labs/training centers; bulk pricing available.</t>
  </si>
  <si>
    <t>OEM/Manufacturer or Reseller (confirm on Alibaba profile)</t>
  </si>
  <si>
    <t>Check Alibaba badges: Verified Supplier / Trade Assurance / Onsite Check (if shown).</t>
  </si>
  <si>
    <t>DAP/DDP (confirm) via Trade Assurance</t>
  </si>
  <si>
    <t>Risky at planned sell (needs bundle or cheaper sourcing). Gross≈11%. Est Amazon net≈-7% after ~18% fees. | Channels: Direct (B2B) + IndiaMART RFQs; avoid Amazon unless bundled/priced higher; also local resellers. | Bundle: Bundle: official/verified power supply + high‑end SD/SSD + heatsink/fan (if needed) + camera options + enclosure + quick‑start + remote setup session.</t>
  </si>
  <si>
    <t>Demand 0.0/40 (units=0.0); Margin 0.0/30 (GM%=-2195871750010891520.0); Channel 0.0/10 (AmazonNet%=NA); Sourcing 0.0/10 (mode=Import); Lead 10.0/10 (days=7.0); Fit 6.0/10; Penalty 0.0/10.</t>
  </si>
  <si>
    <t>AI-K210</t>
  </si>
  <si>
    <t>Kendryte K210 RISC-V AI Board</t>
  </si>
  <si>
    <t>Canaan/Kendryte</t>
  </si>
  <si>
    <t>K210</t>
  </si>
  <si>
    <t>K210 dev</t>
  </si>
  <si>
    <t>RISC-V + KPU</t>
  </si>
  <si>
    <t>Tiny ML/vision</t>
  </si>
  <si>
    <t>Students, Makers</t>
  </si>
  <si>
    <t>https://www.amazon.in/s?k=Sipeed+Maixduino+K210</t>
  </si>
  <si>
    <t>https://www.alibaba.com/showroom/sipeed-maix-i.html</t>
  </si>
  <si>
    <t>Works (healthy margin). Gross≈33%. Est Amazon net≈15% after ~18% fees.</t>
  </si>
  <si>
    <t>Title: Kendryte K210 RISC-V AI Board | Verified/QA Tested | Quick‑Start + Support | GST Invoice
Bullets:
- Key specs: RISC-V + KPU
- Use case: Tiny ML/vision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</si>
  <si>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Gross≈33%. Est Amazon net≈15% after ~18% fees. | Channels: Amazon (as verified kit) + Direct (B2B) + IndiaMART; also Website/WhatsApp + LinkedIn outreach. | Bundle: Bundle: official/verified power supply + high‑end SD/SSD + heatsink/fan (if needed) + camera options + enclosure + quick‑start + remote setup session.</t>
  </si>
  <si>
    <t>Demand 4.0/40 (units=2.0); Margin 0.0/30 (GM%=-10505050450450503680.0); Channel 5.0/10 (AmazonNet%=NA); Sourcing 6.2/10 (mode=Both); Lead 10.0/10 (days=7.0); Fit 0.0/10; Penalty 0.0/10.</t>
  </si>
  <si>
    <t>PMOD-GPIO</t>
  </si>
  <si>
    <t>PMOD Module</t>
  </si>
  <si>
    <t>Module</t>
  </si>
  <si>
    <t>PMOD GPIO</t>
  </si>
  <si>
    <t>Generic/Digilent</t>
  </si>
  <si>
    <t>8-bit IO expansion</t>
  </si>
  <si>
    <t>Peripheral IO</t>
  </si>
  <si>
    <t>FPGA users</t>
  </si>
  <si>
    <t>https://www.amazon.in/s?k=PMOD+GPIO+PMOD+GPIO</t>
  </si>
  <si>
    <t>https://www.alibaba.com/trade/search?SearchText=PMOD+GPIO+PMOD+GPIO</t>
  </si>
  <si>
    <t>Works (healthy margin). Gross≈41%. Est Amazon net≈23% after ~18% fees.</t>
  </si>
  <si>
    <t>Title: PMOD GPIO | Verified/QA Tested | Quick‑Start + Support | GST Invoice
Bullets:
- Key specs: 8-bit IO expansion
- Use case: Peripheral IO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</si>
  <si>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Gross≈41%. Est Amazon net≈23% after ~18% fees. | Channels: Amazon (as verified kit) + Direct (B2B) + IndiaMART; also Website/WhatsApp + LinkedIn outreach. | Bundle: Add: essentials kit (cables/adapters) + quick‑start card + basic support + 7‑day DOA replacement.</t>
  </si>
  <si>
    <t>Demand 8.0/40 (units=4.0); Margin 0.0/30 (GM%=-77922077506077933568.0); Channel 5.0/10 (AmazonNet%=NA); Sourcing 6.2/10 (mode=Local); Lead 10.0/10 (days=7.0); Fit 4.0/10; Penalty 5.0/10.</t>
  </si>
  <si>
    <t>PMOD-OLED</t>
  </si>
  <si>
    <t>PMOD OLED Display</t>
  </si>
  <si>
    <t>PMOD OLED</t>
  </si>
  <si>
    <t>0.96" OLED</t>
  </si>
  <si>
    <t>UI</t>
  </si>
  <si>
    <t>https://www.amazon.in/s?k=PMOD+OLED+Display+PMOD+OLED</t>
  </si>
  <si>
    <t>https://www.alibaba.com/trade/search?SearchText=PMOD+OLED+Display+PMOD+OLED</t>
  </si>
  <si>
    <t>Works (healthy margin). Gross≈34%. Est Amazon net≈16% after ~18% fees.</t>
  </si>
  <si>
    <t>Title: PMOD OLED Display | Verified/QA Tested | Quick‑Start + Support | GST Invoice
Bullets:
- Key specs: 0.96" OLED
- Use case: UI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</si>
  <si>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Gross≈34%. Est Amazon net≈16% after ~18% fees. | Channels: Amazon (as verified kit) + Direct (B2B) + IndiaMART; also Website/WhatsApp + LinkedIn outreach. | Bundle: Add: essentials kit (cables/adapters) + quick‑start card + basic support + 7‑day DOA replacement.</t>
  </si>
  <si>
    <t>Demand 4.0/40 (units=2.0); Margin 0.0/30 (GM%=-23569023440106901504.0); Channel 5.0/10 (AmazonNet%=NA); Sourcing 6.2/10 (mode=Local); Lead 10.0/10 (days=7.0); Fit 4.0/10; Penalty 5.0/10.</t>
  </si>
  <si>
    <t>PMOD-CAM-OV5640</t>
  </si>
  <si>
    <t>PMOD Camera OV5640</t>
  </si>
  <si>
    <t>Generic</t>
  </si>
  <si>
    <t>OV5640</t>
  </si>
  <si>
    <t>5MP</t>
  </si>
  <si>
    <t>DVP camera module</t>
  </si>
  <si>
    <t>Vision input</t>
  </si>
  <si>
    <t>FPGA/AI devs</t>
  </si>
  <si>
    <t>https://www.amazon.in/s?k=PMOD+Camera+OV5640+OV5640</t>
  </si>
  <si>
    <t>https://www.alibaba.com/trade/search?SearchText=PMOD+Camera+OV5640+OV5640</t>
  </si>
  <si>
    <t>Works (healthy margin). Gross≈36%. Est Amazon net≈18% after ~18% fees.</t>
  </si>
  <si>
    <t>Bundle: flex cable + lens options + mounting kit + sample pipelines + quick‑start for Jetson/RPi.</t>
  </si>
  <si>
    <t>Title: PMOD Camera OV5640 | Verified/QA Tested | Quick‑Start + Support | GST Invoice
Bullets:
- Key specs: DVP camera module
- Use case: Vision input
- Pre‑tested unit with packaging QC sticker + photo proof before dispatch.
- Support: setup guide (QR) + WhatsApp troubleshooting; replacement DOA policy.
- Ideal for startups/labs/training centers; bulk pricing available.</t>
  </si>
  <si>
    <t>csi camera, imx camera module, jetson camera, raspberry pi camera, mipi csi, vision module</t>
  </si>
  <si>
    <t>Works (healthy margin). Gross≈36%. Est Amazon net≈18% after ~18% fees. | Channels: Amazon (as verified kit) + Direct (B2B) + IndiaMART; also Website/WhatsApp + LinkedIn outreach. | Bundle: Bundle: flex cable + lens options + mounting kit + sample pipelines + quick‑start for Jetson/RPi.</t>
  </si>
  <si>
    <t>Demand 4.0/40 (units=2.0); Margin 0.0/30 (GM%=-19528619419419529216.0); Channel 5.0/10 (AmazonNet%=NA); Sourcing 0.0/10 (mode=Import); Lead 10.0/10 (days=7.0); Fit 4.0/10; Penalty 5.0/10.</t>
  </si>
  <si>
    <t>PMOD-ADC</t>
  </si>
  <si>
    <t>PMOD ADC</t>
  </si>
  <si>
    <t>Analog input module</t>
  </si>
  <si>
    <t>Sensors</t>
  </si>
  <si>
    <t>FPGA devs</t>
  </si>
  <si>
    <t>https://www.amazon.in/s?k=PMOD+ADC+PMOD+ADC</t>
  </si>
  <si>
    <t>https://www.alibaba.com/trade/search?SearchText=PMOD+ADC+PMOD+ADC</t>
  </si>
  <si>
    <t>Works (healthy margin). Gross≈43%. Est Amazon net≈25% after ~18% fees.</t>
  </si>
  <si>
    <t>Title: PMOD ADC | Verified/QA Tested | Quick‑Start + Support | GST Invoice
Bullets:
- Key specs: Analog input module
- Use case: Sensors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</si>
  <si>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Gross≈43%. Est Amazon net≈25% after ~18% fees. | Channels: Amazon (as verified kit) + Direct (B2B) + IndiaMART; also Website/WhatsApp + LinkedIn outreach. | Bundle: Add: essentials kit (cables/adapters) + quick‑start card + basic support + 7‑day DOA replacement.</t>
  </si>
  <si>
    <t>Demand 6.0/40 (units=3.0); Margin 0.0/30 (GM%=-43290043043043287040.0); Channel 5.0/10 (AmazonNet%=NA); Sourcing 6.2/10 (mode=Local); Lead 10.0/10 (days=7.0); Fit 4.0/10; Penalty 5.0/10.</t>
  </si>
  <si>
    <t>PMOD-WIFI</t>
  </si>
  <si>
    <t>PMOD WiFi/Bluetooth</t>
  </si>
  <si>
    <t>ESP8266/BT</t>
  </si>
  <si>
    <t>Wireless connectivity</t>
  </si>
  <si>
    <t>IoT</t>
  </si>
  <si>
    <t>FPGA/MCU devs</t>
  </si>
  <si>
    <t>https://www.amazon.in/s?k=PMOD+WiFi%2FBluetooth+ESP8266%2FBT</t>
  </si>
  <si>
    <t>https://www.alibaba.com/trade/search?SearchText=PMOD+WiFi%2FBluetooth+ESP8266%2FBT</t>
  </si>
  <si>
    <t>Works (healthy margin). Gross≈35%. Est Amazon net≈17% after ~18% fees.</t>
  </si>
  <si>
    <t>Title: PMOD WiFi/Bluetooth | Verified/QA Tested | Quick‑Start + Support | GST Invoice
Bullets:
- Key specs: Wireless connectivity
- Use case: IoT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</si>
  <si>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Gross≈35%. Est Amazon net≈17% after ~18% fees. | Channels: Amazon (as verified kit) + Direct (B2B) + IndiaMART; also Website/WhatsApp + LinkedIn outreach. | Bundle: Add: essentials kit (cables/adapters) + quick‑start card + basic support + 7‑day DOA replacement.</t>
  </si>
  <si>
    <t>Demand 4.0/40 (units=2.0); Margin 0.0/30 (GM%=-32961190664348749824.0); Channel 5.0/10 (AmazonNet%=NA); Sourcing 6.2/10 (mode=Local); Lead 10.0/10 (days=7.0); Fit 4.0/10; Penalty 5.0/10.</t>
  </si>
  <si>
    <t>PMOD-ETH</t>
  </si>
  <si>
    <t>PMOD Ethernet</t>
  </si>
  <si>
    <t>W5500</t>
  </si>
  <si>
    <t>Ethernet interface</t>
  </si>
  <si>
    <t>Networking</t>
  </si>
  <si>
    <t>Title: PMOD Ethernet | Verified/QA Tested | Quick‑Start + Support | GST Invoice
Bullets:
- Key specs: Ethernet interface
- Use case: Networking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</si>
  <si>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Gross≈33%. Est Amazon net≈15% after ~18% fees. | Channels: Amazon (as verified kit) + Direct (B2B) + IndiaMART; also Website/WhatsApp + LinkedIn outreach. | Bundle: Add: essentials kit (cables/adapters) + quick‑start card + basic support + 7‑day DOA replacement.</t>
  </si>
  <si>
    <t>Demand 4.0/40 (units=2.0); Margin 0.0/30 (GM%=-20202020082582700032.0); Channel 5.0/10 (AmazonNet%=NA); Sourcing 0.0/10 (mode=Import); Lead 10.0/10 (days=7.0); Fit 4.0/10; Penalty 5.0/10.</t>
  </si>
  <si>
    <t>CAM-IMX219</t>
  </si>
  <si>
    <t>Camera</t>
  </si>
  <si>
    <t>Sony IMX219 MIPI Camera</t>
  </si>
  <si>
    <t>Sony</t>
  </si>
  <si>
    <t>IMX219</t>
  </si>
  <si>
    <t>8MP</t>
  </si>
  <si>
    <t>MIPI CSI-2</t>
  </si>
  <si>
    <t>Jetson/RPi vision</t>
  </si>
  <si>
    <t>AI devs</t>
  </si>
  <si>
    <t>https://robu.in/product/raspberry-pi-camera-v2/</t>
  </si>
  <si>
    <t>Robu price for Arducam IMX219 wide-angle module incl GST. (2025-12-20)</t>
  </si>
  <si>
    <t>Official Raspberry Pi Camera V2 (IMX219) used.</t>
  </si>
  <si>
    <t>Works (healthy margin). Gross≈27%. Est Amazon net≈9% after ~18% fees.</t>
  </si>
  <si>
    <t>Title: Sony IMX219 MIPI Camera | Verified/QA Tested | Quick‑Start + Support | GST Invoice
Bullets:
- Key specs: MIPI CSI-2
- Use case: Jetson/RPi vision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</si>
  <si>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https://robu.in/product/raspberry-pi-camera-v2/</t>
  </si>
  <si>
    <t>Works (healthy margin). Gross≈27%. Est Amazon net≈9% after ~18% fees. | Channels: Amazon (as verified kit) + Direct (B2B) + IndiaMART; also Website/WhatsApp + LinkedIn outreach. | Bundle: Bundle: flex cable + lens options + mounting kit + sample pipelines + quick‑start for Jetson/RPi.</t>
  </si>
  <si>
    <t>Demand 4.0/40 (units=2.0); Margin 0.3/30 (GM%=0.4); Channel 5.0/10 (AmazonNet%=NA); Sourcing 6.2/10 (mode=Local); Lead 10.0/10 (days=7.0); Fit 0.0/10; Penalty 0.0/10.</t>
  </si>
  <si>
    <t>CAM-IMX477</t>
  </si>
  <si>
    <t>Sony IMX477 HQ Camera</t>
  </si>
  <si>
    <t>IMX477</t>
  </si>
  <si>
    <t>12MP</t>
  </si>
  <si>
    <t>MIPI CSI-2 HQ</t>
  </si>
  <si>
    <t>High quality vision</t>
  </si>
  <si>
    <t>https://robu.in/product/waveshare-imx477-160-12-3mp-camera-160-fov-applicable-for-jetson-nano-compute-module/</t>
  </si>
  <si>
    <t>Robu price for Arducam IMX477 motorized focus incl GST. (2025-12-20)</t>
  </si>
  <si>
    <t>Waveshare IMX477-160 (12.3MP) used.</t>
  </si>
  <si>
    <t>Title: Sony IMX477 HQ Camera | Verified/QA Tested | Quick‑Start + Support | GST Invoice
Bullets:
- Key specs: MIPI CSI-2 HQ
- Use case: High quality vision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</si>
  <si>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https://robu.in/product/waveshare-imx477-160-12-3mp-camera-160-fov-applicable-for-jetson-nano-compute-module/</t>
  </si>
  <si>
    <t>Works (healthy margin). Gross≈28%. Est Amazon net≈10% after ~18% fees. | Channels: Amazon (as verified kit) + Direct (B2B) + IndiaMART; also Website/WhatsApp + LinkedIn outreach. | Bundle: Bundle: flex cable + lens options + mounting kit + sample pipelines + quick‑start for Jetson/RPi.</t>
  </si>
  <si>
    <t>Demand 2.0/40 (units=1.0); Margin 0.3/30 (GM%=0.4); Channel 5.0/10 (AmazonNet%=NA); Sourcing 0.0/10 (mode=Import); Lead 10.0/10 (days=7.0); Fit 0.0/10; Penalty 0.0/10.</t>
  </si>
  <si>
    <t>CAM-OV5647</t>
  </si>
  <si>
    <t>MIPI CSI-2 Camera (OV5647)</t>
  </si>
  <si>
    <t>OmniVision</t>
  </si>
  <si>
    <t>OV5647</t>
  </si>
  <si>
    <t>Low-cost vision</t>
  </si>
  <si>
    <t>Students</t>
  </si>
  <si>
    <t>Works (healthy margin). Gross≈31%. Est Amazon net≈13% after ~18% fees.</t>
  </si>
  <si>
    <t>Title: MIPI CSI-2 Camera (OV5647) | Verified/QA Tested | Quick‑Start + Support | GST Invoice
Bullets:
- Key specs: MIPI CSI-2
- Use case: Low-cost vision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</si>
  <si>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Gross≈31%. Est Amazon net≈13% after ~18% fees. | Channels: Amazon (as verified kit) + Direct (B2B) + IndiaMART; also Website/WhatsApp + LinkedIn outreach. | Bundle: Bundle: flex cable + lens options + mounting kit + sample pipelines + quick‑start for Jetson/RPi.</t>
  </si>
  <si>
    <t>Demand 4.0/40 (units=2.0); Margin 0.0/30 (GM%=-39281705705705955328.0); Channel 5.0/10 (AmazonNet%=NA); Sourcing 6.2/10 (mode=Local); Lead 10.0/10 (days=7.0); Fit 0.0/10; Penalty 0.0/10.</t>
  </si>
  <si>
    <t>CAM-OV7670</t>
  </si>
  <si>
    <t>DVP Camera OV7670</t>
  </si>
  <si>
    <t>OV7670</t>
  </si>
  <si>
    <t>0.3MP</t>
  </si>
  <si>
    <t>Parallel DVP</t>
  </si>
  <si>
    <t>FPGA intro vision</t>
  </si>
  <si>
    <t>Title: DVP Camera OV7670 | Verified/QA Tested | Quick‑Start + Support | GST Invoice
Bullets:
- Key specs: Parallel DVP
- Use case: FPGA intro vision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</si>
  <si>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Gross≈43%. Est Amazon net≈25% after ~18% fees. | Channels: Amazon (as verified kit) + Direct (B2B) + IndiaMART; also Website/WhatsApp + LinkedIn outreach. | Bundle: Bundle: flex cable + lens options + mounting kit + sample pipelines + quick‑start for Jetson/RPi.</t>
  </si>
  <si>
    <t>Demand 0.0/40 (units=0.0); Margin 0.0/30 (GM%=-145454544544545456128.0); Channel 5.0/10 (AmazonNet%=NA); Sourcing 6.2/10 (mode=Local); Lead 10.0/10 (days=7.0); Fit 0.0/10; Penalty 0.0/10.</t>
  </si>
  <si>
    <t>CAM-MLX90640</t>
  </si>
  <si>
    <t>Thermal Array MLX90640 Module</t>
  </si>
  <si>
    <t>Melexis</t>
  </si>
  <si>
    <t>MLX90640</t>
  </si>
  <si>
    <t>32x24</t>
  </si>
  <si>
    <t>Thermal IR sensor</t>
  </si>
  <si>
    <t>Thermal inspection</t>
  </si>
  <si>
    <t>Industry, labs</t>
  </si>
  <si>
    <t>https://robu.in/product/seeedstudio-grove-ir-array-sensor-mlx90640/</t>
  </si>
  <si>
    <t>Seeed Grove MLX90640 used.</t>
  </si>
  <si>
    <t>Title: Thermal Array MLX90640 Module | Verified/QA Tested | Quick‑Start + Support | GST Invoice
Bullets:
- Key specs: Thermal IR sensor
- Use case: Thermal inspection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</si>
  <si>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https://robu.in/product/seeedstudio-grove-ir-array-sensor-mlx90640/</t>
  </si>
  <si>
    <t>Demand 0.0/40 (units=0.0); Margin 0.3/30 (GM%=0.4); Channel 5.0/10 (AmazonNet%=NA); Sourcing 0.0/10 (mode=Import); Lead 10.0/10 (days=7.0); Fit 6.0/10; Penalty 5.0/10.</t>
  </si>
  <si>
    <t>SENS-MPU6050</t>
  </si>
  <si>
    <t>Sensor</t>
  </si>
  <si>
    <t>IMU MPU6050 Module</t>
  </si>
  <si>
    <t>InvenSense</t>
  </si>
  <si>
    <t>MPU6050</t>
  </si>
  <si>
    <t>6-axis IMU</t>
  </si>
  <si>
    <t>Robotics</t>
  </si>
  <si>
    <t>Students, robotics</t>
  </si>
  <si>
    <t>https://robu.in/product/mpu-6050-gyro-sensor-module/</t>
  </si>
  <si>
    <t>Robu price incl GST. (2025-12-20)</t>
  </si>
  <si>
    <t>Works (healthy margin). Gross≈26%. Est Amazon net≈8% after ~18% fees.</t>
  </si>
  <si>
    <t>Title: IMU MPU6050 Module | Verified/QA Tested | Quick‑Start + Support | GST Invoice
Bullets:
- Key specs: 6-axis IMU
- Use case: Robotics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</si>
  <si>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https://robu.in/product/mpu-6050-gyro-sensor-module/</t>
  </si>
  <si>
    <t>Works (healthy margin). Gross≈26%. Est Amazon net≈8% after ~18% fees. | Channels: Amazon (as verified kit) + Direct (B2B) + IndiaMART; also Website/WhatsApp + LinkedIn outreach. | Bundle: Add: essentials kit (cables/adapters) + quick‑start card + basic support + 7‑day DOA replacement.</t>
  </si>
  <si>
    <t>Demand 18.0/40 (units=9.0); Margin 0.3/30 (GM%=0.4); Channel 5.0/10 (AmazonNet%=NA); Sourcing 6.2/10 (mode=Local); Lead 10.0/10 (days=7.0); Fit 0.0/10; Penalty 0.0/10.</t>
  </si>
  <si>
    <t>SENS-ICM20948</t>
  </si>
  <si>
    <t>IMU ICM20948 9-axis Module</t>
  </si>
  <si>
    <t>TDK/InvenSense</t>
  </si>
  <si>
    <t>ICM20948</t>
  </si>
  <si>
    <t>9-axis IMU</t>
  </si>
  <si>
    <t>Drones, robotics</t>
  </si>
  <si>
    <t>https://robu.in/product/sparkfun-9dof-imu-breakout-icm-20948-qwiic/</t>
  </si>
  <si>
    <t>SparkFun breakout used.</t>
  </si>
  <si>
    <t>Title: IMU ICM20948 9-axis Module | Verified/QA Tested | Quick‑Start + Support | GST Invoice
Bullets:
- Key specs: 9-axis IMU
- Use case: Drones, robotics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</si>
  <si>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https://robu.in/product/sparkfun-9dof-imu-breakout-icm-20948-qwiic/</t>
  </si>
  <si>
    <t>Works (healthy margin). Gross≈28%. Est Amazon net≈10% after ~18% fees. | Channels: Amazon (as verified kit) + Direct (B2B) + IndiaMART; also Website/WhatsApp + LinkedIn outreach. | Bundle: Add: essentials kit (cables/adapters) + quick‑start card + basic support + 7‑day DOA replacement.</t>
  </si>
  <si>
    <t>Demand 6.0/40 (units=3.0); Margin 0.3/30 (GM%=0.4); Channel 5.0/10 (AmazonNet%=NA); Sourcing 0.0/10 (mode=Import); Lead 10.0/10 (days=7.0); Fit 6.0/10; Penalty 5.0/10.</t>
  </si>
  <si>
    <t>SENS-VL53L1X</t>
  </si>
  <si>
    <t>ToF Sensor VL53L1X Module</t>
  </si>
  <si>
    <t>STMicro</t>
  </si>
  <si>
    <t>VL53L1X</t>
  </si>
  <si>
    <t>Distance sensing</t>
  </si>
  <si>
    <t>Robotics startups</t>
  </si>
  <si>
    <t>https://robu.in/product/waveshare-vl53l1x-tof-sensor-module-iv-measuring-range-4m/</t>
  </si>
  <si>
    <t>Robu price for VL53L1X unit incl GST. (2025-12-20)</t>
  </si>
  <si>
    <t>Waveshare breakout price.</t>
  </si>
  <si>
    <t>Title: ToF Sensor VL53L1X Module | Verified/QA Tested | Quick‑Start + Support | GST Invoice
Bullets:
- Key specs: Distance sensing
- Use case: Robotics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</si>
  <si>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https://robu.in/product/waveshare-vl53l1x-tof-sensor-module-iv-measuring-range-4m/</t>
  </si>
  <si>
    <t>Works (healthy margin). Gross≈27%. Est Amazon net≈9% after ~18% fees. | Channels: Amazon (as verified kit) + Direct (B2B) + IndiaMART; also Website/WhatsApp + LinkedIn outreach. | Bundle: Add: essentials kit (cables/adapters) + quick‑start card + basic support + 7‑day DOA replacement.</t>
  </si>
  <si>
    <t>Demand 4.0/40 (units=2.0); Margin 0.3/30 (GM%=0.4); Channel 5.0/10 (AmazonNet%=NA); Sourcing 6.2/10 (mode=Local); Lead 10.0/10 (days=7.0); Fit 6.0/10; Penalty 5.0/10.</t>
  </si>
  <si>
    <t>SENS-RPLIDAR-A1</t>
  </si>
  <si>
    <t>LiDAR Module RPLIDAR A1</t>
  </si>
  <si>
    <t>Slamtec</t>
  </si>
  <si>
    <t>RPLIDAR A1</t>
  </si>
  <si>
    <t>2D LiDAR</t>
  </si>
  <si>
    <t>SLAM robots</t>
  </si>
  <si>
    <t>https://robu.in/product/rplidar-a1m8-360-degree-laser-range-scanner-development-kit/</t>
  </si>
  <si>
    <t>Title: LiDAR Module RPLIDAR A1 | Verified/QA Tested | Quick‑Start + Support | GST Invoice
Bullets:
- Key specs: 2D LiDAR
- Use case: SLAM robots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</si>
  <si>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https://robu.in/product/rplidar-a1m8-360-degree-laser-range-scanner-development-kit/</t>
  </si>
  <si>
    <t>Demand 2.0/40 (units=1.0); Margin 0.3/30 (GM%=0.4); Channel 5.0/10 (AmazonNet%=NA); Sourcing 0.0/10 (mode=Import); Lead 10.0/10 (days=7.0); Fit 6.0/10; Penalty 5.0/10.</t>
  </si>
  <si>
    <t>SENS-GPS-NEO6M</t>
  </si>
  <si>
    <t>GPS Module NEO-6M</t>
  </si>
  <si>
    <t>u-blox</t>
  </si>
  <si>
    <t>NEO-6M</t>
  </si>
  <si>
    <t>GPS/GNSS</t>
  </si>
  <si>
    <t>Drones/Tracking</t>
  </si>
  <si>
    <t>Startups, makers</t>
  </si>
  <si>
    <t>https://robu.in/product/neo-6m-gps-module/</t>
  </si>
  <si>
    <t>Title: GPS Module NEO-6M | Verified/QA Tested | Quick‑Start + Support | GST Invoice
Bullets:
- Key specs: GPS/GNSS
- Use case: Drones/Tracking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</si>
  <si>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https://robu.in/product/neo-6m-gps-module/</t>
  </si>
  <si>
    <t>SENS-BMP280</t>
  </si>
  <si>
    <t>Pressure Sensor BMP280</t>
  </si>
  <si>
    <t>Bosch</t>
  </si>
  <si>
    <t>BMP280</t>
  </si>
  <si>
    <t>Pressure/Temp</t>
  </si>
  <si>
    <t>IoT weather</t>
  </si>
  <si>
    <t>https://robu.in/product/bmp280-barometric-pressure-sensor-module/</t>
  </si>
  <si>
    <t>Works for Direct/B2B; marketplaces need bundle/price-up. Gross≈20%. Est Amazon net≈2% after ~18% fees.</t>
  </si>
  <si>
    <t>Title: Pressure Sensor BMP280 | Verified/QA Tested | Quick‑Start + Support | GST Invoice
Bullets:
- Key specs: Pressure/Temp
- Use case: IoT weather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</si>
  <si>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https://robu.in/product/bmp280-barometric-pressure-sensor-module/</t>
  </si>
  <si>
    <t>Works for Direct/B2B; marketplaces need bundle/price-up. Gross≈20%. Est Amazon net≈2% after ~18% fees. | Channels: Direct (B2B) + IndiaMART; Amazon only if bundled/priced higher. | Bundle: Add: essentials kit (cables/adapters) + quick‑start card + basic support + 7‑day DOA replacement.</t>
  </si>
  <si>
    <t>Demand 0.0/40 (units=0.0); Margin 0.3/30 (GM%=0.4); Channel 5.0/10 (AmazonNet%=NA); Sourcing 6.2/10 (mode=Local); Lead 10.0/10 (days=7.0); Fit 0.0/10; Penalty 0.0/10.</t>
  </si>
  <si>
    <t>SENS-HCSR04</t>
  </si>
  <si>
    <t>Ultrasonic HC-SR04</t>
  </si>
  <si>
    <t>HC-SR04</t>
  </si>
  <si>
    <t>Distance sensor</t>
  </si>
  <si>
    <t>https://robu.in/product/ultrasonic-sensor-module-hc-sr04/</t>
  </si>
  <si>
    <t>Price from category/listing; verify on product page.</t>
  </si>
  <si>
    <t>Title: Ultrasonic HC-SR04 | Verified/QA Tested | Quick‑Start + Support | GST Invoice
Bullets:
- Key specs: Distance sensor
- Use case: Robotics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</si>
  <si>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https://robu.in/product/ultrasonic-sensor-module-hc-sr04/</t>
  </si>
  <si>
    <t>Demand 12.0/40 (units=6.0); Margin 0.3/30 (GM%=0.4); Channel 5.0/10 (AmazonNet%=NA); Sourcing 6.2/10 (mode=Local); Lead 10.0/10 (days=7.0); Fit 0.0/10; Penalty 0.0/10.</t>
  </si>
  <si>
    <t>MCU-ESP32</t>
  </si>
  <si>
    <t>Microcontroller</t>
  </si>
  <si>
    <t>ESP32 DevKit</t>
  </si>
  <si>
    <t>Espressif</t>
  </si>
  <si>
    <t>ESP32-WROOM</t>
  </si>
  <si>
    <t>WROOM-32</t>
  </si>
  <si>
    <t>WiFi/BT MCU</t>
  </si>
  <si>
    <t>IoT edge</t>
  </si>
  <si>
    <t>Students, startups</t>
  </si>
  <si>
    <t>https://robu.in/product/esp32-38pin-development-board/</t>
  </si>
  <si>
    <t>Title: ESP32 DevKit | Verified/QA Tested | Quick‑Start + Support | GST Invoice
Bullets:
- Key specs: WiFi/BT MCU
- Use case: IoT edge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</si>
  <si>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https://robu.in/product/esp32-38pin-development-board/</t>
  </si>
  <si>
    <t>Demand 12.0/40 (units=6.0); Margin 0.3/30 (GM%=0.4); Channel 5.0/10 (AmazonNet%=NA); Sourcing 6.2/10 (mode=Local); Lead 10.0/10 (days=7.0); Fit 6.0/10; Penalty 0.0/10.</t>
  </si>
  <si>
    <t>MCU-STM32F401</t>
  </si>
  <si>
    <t>STM32F401 Dev Board</t>
  </si>
  <si>
    <t>STM32F401</t>
  </si>
  <si>
    <t>Black Pill</t>
  </si>
  <si>
    <t>Cortex-M4</t>
  </si>
  <si>
    <t>Control, DSP</t>
  </si>
  <si>
    <t>https://robu.in/product/weact-black-pill-v2-0-stm32f401ccu6-development-board/</t>
  </si>
  <si>
    <t>Title: STM32F401 Dev Board | Verified/QA Tested | Quick‑Start + Support | GST Invoice
Bullets:
- Key specs: Cortex-M4
- Use case: Control, DSP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</si>
  <si>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https://robu.in/product/weact-black-pill-v2-0-stm32f401ccu6-development-board/</t>
  </si>
  <si>
    <t>Demand 6.0/40 (units=3.0); Margin 0.3/30 (GM%=0.4); Channel 5.0/10 (AmazonNet%=NA); Sourcing 6.2/10 (mode=Local); Lead 10.0/10 (days=7.0); Fit 6.0/10; Penalty 0.0/10.</t>
  </si>
  <si>
    <t>MCU-RP2040-PICO</t>
  </si>
  <si>
    <t>Raspberry Pi Pico</t>
  </si>
  <si>
    <t>Raspberry Pi</t>
  </si>
  <si>
    <t>RP2040</t>
  </si>
  <si>
    <t>Pico</t>
  </si>
  <si>
    <t>Dual-core MCU</t>
  </si>
  <si>
    <t>Education</t>
  </si>
  <si>
    <t>https://robu.in/product/raspberry-pi-pico/</t>
  </si>
  <si>
    <t>Title: Raspberry Pi Pico | Verified/QA Tested | Quick‑Start + Support | GST Invoice
Bullets:
- Key specs: Dual-core MCU
- Use case: Education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</si>
  <si>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https://robu.in/product/raspberry-pi-pico/</t>
  </si>
  <si>
    <t>Demand 6.0/40 (units=3.0); Margin 0.3/30 (GM%=0.4); Channel 5.0/10 (AmazonNet%=NA); Sourcing 6.2/10 (mode=Local); Lead 10.0/10 (days=7.0); Fit 0.0/10; Penalty 0.0/10.</t>
  </si>
  <si>
    <t>MCU-ARD-UNO-R4</t>
  </si>
  <si>
    <t>Arduino UNO R4</t>
  </si>
  <si>
    <t>Arduino</t>
  </si>
  <si>
    <t>UNO R4</t>
  </si>
  <si>
    <t>Minima/WiFi</t>
  </si>
  <si>
    <t>Arduino ecosystem</t>
  </si>
  <si>
    <t>Education/IoT</t>
  </si>
  <si>
    <t>https://robu.in/product/official-arduino-uno-ek-minima/</t>
  </si>
  <si>
    <t>Official UNO R4 Minima listing.</t>
  </si>
  <si>
    <t>Title: Arduino UNO R4 | Verified/QA Tested | Quick‑Start + Support | GST Invoice
Bullets:
- Key specs: Arduino ecosystem
- Use case: Education/IoT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</si>
  <si>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https://robu.in/product/official-arduino-uno-ek-minima/</t>
  </si>
  <si>
    <t>MCU-ARD-NANO-EVERY</t>
  </si>
  <si>
    <t>Arduino Nano Every</t>
  </si>
  <si>
    <t>Nano Every</t>
  </si>
  <si>
    <t>ATmega4809</t>
  </si>
  <si>
    <t>Works for Direct/B2B; marketplaces need bundle/price-up. Gross≈21%. Est Amazon net≈3% after ~18% fees.</t>
  </si>
  <si>
    <t>Title: Arduino Nano Every | Verified/QA Tested | Quick‑Start + Support | GST Invoice
Bullets:
- Key specs: ATmega4809
- Use case: Education
- Pre‑tested unit with packaging QC sticker + photo proof before dispatch.
- Support: setup guide (QR) + WhatsApp troubleshooting; replacement DOA policy.
- Ideal for startups/labs/training centers; bulk pricing available.</t>
  </si>
  <si>
    <t>Works for Direct/B2B; marketplaces need bundle/price-up. Gross≈21%. Est Amazon net≈3% after ~18% fees. | Channels: Direct (B2B) + IndiaMART; Amazon only if bundled/priced higher. | Bundle: Bundle: official/verified power supply + high‑end SD/SSD + heatsink/fan (if needed) + camera options + enclosure + quick‑start + remote setup session.</t>
  </si>
  <si>
    <t>Demand 0.0/40 (units=0.0); Margin 0.0/30 (GM%=-49494949149149495296.0); Channel 5.0/10 (AmazonNet%=NA); Sourcing 6.2/10 (mode=Local); Lead 10.0/10 (days=7.0); Fit 4.0/10; Penalty 0.0/10.</t>
  </si>
  <si>
    <t>CONN-CP2102</t>
  </si>
  <si>
    <t>Connectivity</t>
  </si>
  <si>
    <t>USB-UART CP2102 Module</t>
  </si>
  <si>
    <t>Silicon Labs</t>
  </si>
  <si>
    <t>CP2102</t>
  </si>
  <si>
    <t>USB to UART</t>
  </si>
  <si>
    <t>Debug/program</t>
  </si>
  <si>
    <t>All devs</t>
  </si>
  <si>
    <t>https://robu.in/product/cp2102-usb-to-ttl-serial-converter-module-2/</t>
  </si>
  <si>
    <t>Works (healthy margin). Gross≈25%. Est Amazon net≈7% after ~18% fees.</t>
  </si>
  <si>
    <t>Title: USB-UART CP2102 Module | Verified/QA Tested | Quick‑Start + Support | GST Invoice
Bullets:
- Key specs: USB to UART
- Use case: Debug/program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</si>
  <si>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https://robu.in/product/cp2102-usb-to-ttl-serial-converter-module-2/</t>
  </si>
  <si>
    <t>Works (healthy margin). Gross≈25%. Est Amazon net≈7% after ~18% fees. | Channels: Amazon (as verified kit) + Direct (B2B) + IndiaMART; also Website/WhatsApp + LinkedIn outreach. | Bundle: Add: essentials kit (cables/adapters) + quick‑start card + basic support + 7‑day DOA replacement.</t>
  </si>
  <si>
    <t>CONN-FT232</t>
  </si>
  <si>
    <t>USB-UART FT232RL Module</t>
  </si>
  <si>
    <t>FTDI</t>
  </si>
  <si>
    <t>FT232RL</t>
  </si>
  <si>
    <t>Reliable serial</t>
  </si>
  <si>
    <t>Pros</t>
  </si>
  <si>
    <t>Works (healthy margin). Gross≈37%. Est Amazon net≈19% after ~18% fees.</t>
  </si>
  <si>
    <t>Title: USB-UART FT232RL Module | Verified/QA Tested | Quick‑Start + Support | GST Invoice
Bullets:
- Key specs: USB to UART
- Use case: Reliable serial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</si>
  <si>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Gross≈37%. Est Amazon net≈19% after ~18% fees. | Channels: Amazon (as verified kit) + Direct (B2B) + IndiaMART; also Website/WhatsApp + LinkedIn outreach. | Bundle: Add: essentials kit (cables/adapters) + quick‑start card + basic support + 7‑day DOA replacement.</t>
  </si>
  <si>
    <t>Demand 6.0/40 (units=3.0); Margin 0.0/30 (GM%=-128787877877878784000.0); Channel 5.0/10 (AmazonNet%=NA); Sourcing 6.2/10 (mode=Local); Lead 10.0/10 (days=7.0); Fit 0.0/10; Penalty 5.0/10.</t>
  </si>
  <si>
    <t>CONN-FT4232H</t>
  </si>
  <si>
    <t>USB-JTAG FT4232H</t>
  </si>
  <si>
    <t>FT4232H</t>
  </si>
  <si>
    <t>Multi-channel USB bridge (JTAG/UART)</t>
  </si>
  <si>
    <t>FPGA programming</t>
  </si>
  <si>
    <t>Add: ribbon cable/adapter set + USB extension + ESD pouch + printed quick‑start + driver QR + WhatsApp support + 6‑month replacement.</t>
  </si>
  <si>
    <t>Title: USB-JTAG FT4232H | Verified/QA Tested | Quick‑Start + Support | GST Invoice
Bullets:
- Key specs: Multi-channel USB bridge (JTAG/UART)
- Use case: FPGA programming
- Pre‑tested unit with packaging QC sticker + photo proof before dispatch.
- Support: setup guide (QR) + WhatsApp troubleshooting; replacement DOA policy.
- Ideal for startups/labs/training centers; bulk pricing available.</t>
  </si>
  <si>
    <t>USB JTAG, xilinx jtag, altera jtag, quartus programmer, vivado programmer, fpga debugger, usb blaster, platform cable</t>
  </si>
  <si>
    <t>Direct/IndiaMART: 7 days DOA replacement. Amazon: follow marketplace returns + your 7‑day DOA policy.</t>
  </si>
  <si>
    <t>6 months (replacement for DOA/functional failure; physical damage excluded).</t>
  </si>
  <si>
    <t>Works (healthy margin). Gross≈31%. Est Amazon net≈13% after ~18% fees. | Channels: Amazon (as verified kit) + Direct (B2B) + IndiaMART; also Website/WhatsApp + LinkedIn outreach. | Bundle: Add: ribbon cable/adapter set + USB extension + ESD pouch + printed quick‑start + driver QR + WhatsApp support + 6‑month replacement.</t>
  </si>
  <si>
    <t>Demand 4.0/40 (units=2.0); Margin 0.0/30 (GM%=-58361391280169467904.0); Channel 5.0/10 (AmazonNet%=NA); Sourcing 0.0/10 (mode=Import); Lead 10.0/10 (days=7.0); Fit 4.0/10; Penalty 2.0/10.</t>
  </si>
  <si>
    <t>CONN-LAN8720</t>
  </si>
  <si>
    <t>Ethernet PHY Module LAN8720</t>
  </si>
  <si>
    <t>Microchip</t>
  </si>
  <si>
    <t>LAN8720</t>
  </si>
  <si>
    <t>RMII PHY</t>
  </si>
  <si>
    <t>Ethernet in MCU/FPGA</t>
  </si>
  <si>
    <t>IoT devs</t>
  </si>
  <si>
    <t>Title: Ethernet PHY Module LAN8720 | Verified/QA Tested | Quick‑Start + Support | GST Invoice
Bullets:
- Key specs: RMII PHY
- Use case: Ethernet in MCU/FPGA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</si>
  <si>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(GM%=-214141412612614127616.0); Channel 5.0/10 (AmazonNet%=NA); Sourcing 6.2/10 (mode=Local); Lead 10.0/10 (days=7.0); Fit 0.0/10; Penalty 5.0/10.</t>
  </si>
  <si>
    <t>CONN-FE1-1S</t>
  </si>
  <si>
    <t>USB Hub Module FE1.1s</t>
  </si>
  <si>
    <t>Terminus</t>
  </si>
  <si>
    <t>FE1.1s</t>
  </si>
  <si>
    <t>4-port USB 2.0 hub</t>
  </si>
  <si>
    <t>USB expansion</t>
  </si>
  <si>
    <t>Makers</t>
  </si>
  <si>
    <t>Title: USB Hub Module FE1.1s | Verified/QA Tested | Quick‑Start + Support | GST Invoice
Bullets:
- Key specs: 4-port USB 2.0 hub
- Use case: USB expansion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</si>
  <si>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(GM%=-155844154726155845632.0); Channel 5.0/10 (AmazonNet%=NA); Sourcing 0.0/10 (mode=Import); Lead 10.0/10 (days=7.0); Fit 0.0/10; Penalty 5.0/10.</t>
  </si>
  <si>
    <t>MEM-W25Q128</t>
  </si>
  <si>
    <t>Memory</t>
  </si>
  <si>
    <t>IC</t>
  </si>
  <si>
    <t>QSPI NOR Flash 128Mbit</t>
  </si>
  <si>
    <t>Winbond</t>
  </si>
  <si>
    <t>W25Q128JV</t>
  </si>
  <si>
    <t>128Mbit QSPI</t>
  </si>
  <si>
    <t>FPGA config</t>
  </si>
  <si>
    <t>FPGA board builders</t>
  </si>
  <si>
    <t>LCSC/Local</t>
  </si>
  <si>
    <t>https://robu.in/product/w25q128-large-capacity-flash-storage-module/</t>
  </si>
  <si>
    <t>Module price used as proxy; if you need bare IC, re-check LCSC/Mouser.</t>
  </si>
  <si>
    <t>Title: QSPI NOR Flash 128Mbit | Verified/QA Tested | Quick‑Start + Support | GST Invoice
Bullets:
- Key specs: 128Mbit QSPI
- Use case: FPGA config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</si>
  <si>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https://robu.in/product/w25q128-large-capacity-flash-storage-module/</t>
  </si>
  <si>
    <t>Demand 30.0/40 (units=15.0); Margin 0.3/30 (GM%=0.4); Channel 5.0/10 (AmazonNet%=NA); Sourcing 6.2/10 (mode=Both); Lead 10.0/10 (days=7.0); Fit 4.0/10; Penalty 0.0/10.</t>
  </si>
  <si>
    <t>MEM-DDR3-512</t>
  </si>
  <si>
    <t>DDR3 SDRAM 512MB (x16)</t>
  </si>
  <si>
    <t>Micron/Samsung</t>
  </si>
  <si>
    <t>MT41K256M16</t>
  </si>
  <si>
    <t>DDR3 4Gb (512MB effective)</t>
  </si>
  <si>
    <t>FPGA/SoC DDR</t>
  </si>
  <si>
    <t>Board designers</t>
  </si>
  <si>
    <t>Title: DDR3 SDRAM 512MB (x16) | Verified/QA Tested | Quick‑Start + Support | GST Invoice
Bullets:
- Key specs: DDR3 4Gb (512MB effective)
- Use case: FPGA/SoC DDR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</si>
  <si>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Gross≈30%. Est Amazon net≈12% after ~18% fees. | Channels: Amazon (as verified kit) + Direct (B2B) + IndiaMART; also Website/WhatsApp + LinkedIn outreach. | Bundle: Add: essentials kit (cables/adapters) + quick‑start card + basic support + 7‑day DOA replacement.</t>
  </si>
  <si>
    <t>Demand 0.0/40 (units=0.0); Margin 0.0/30 (GM%=-53872053482053877760.0); Channel 5.0/10 (AmazonNet%=NA); Sourcing 0.0/10 (mode=Import); Lead 10.0/10 (days=7.0); Fit 0.0/10; Penalty 0.0/10.</t>
  </si>
  <si>
    <t>MEM-EMMC-32</t>
  </si>
  <si>
    <t>eMMC 32GB Module</t>
  </si>
  <si>
    <t>eMMC</t>
  </si>
  <si>
    <t>32GB</t>
  </si>
  <si>
    <t>Storage</t>
  </si>
  <si>
    <t>Edge devices</t>
  </si>
  <si>
    <t>Works (healthy margin). Gross≈32%. Est Amazon net≈14% after ~18% fees.</t>
  </si>
  <si>
    <t>Title: eMMC 32GB Module | Verified/QA Tested | Quick‑Start + Support | GST Invoice
Bullets:
- Key specs: Storage
- Use case: Edge devices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</si>
  <si>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Gross≈32%. Est Amazon net≈14% after ~18% fees. | Channels: Amazon (as verified kit) + Direct (B2B) + IndiaMART; also Website/WhatsApp + LinkedIn outreach. | Bundle: Add: essentials kit (cables/adapters) + quick‑start card + basic support + 7‑day DOA replacement.</t>
  </si>
  <si>
    <t>Demand 0.0/40 (units=0.0); Margin 0.0/30 (GM%=-76767676209543430144.0); Channel 5.0/10 (AmazonNet%=NA); Sourcing 0.0/10 (mode=Import); Lead 10.0/10 (days=7.0); Fit 6.0/10; Penalty 5.0/10.</t>
  </si>
  <si>
    <t>MEM-MICROSD-32</t>
  </si>
  <si>
    <t>Accessory</t>
  </si>
  <si>
    <t>microSD Card 32GB</t>
  </si>
  <si>
    <t>SanDisk/Generic</t>
  </si>
  <si>
    <t>microSD</t>
  </si>
  <si>
    <t>Dev kits</t>
  </si>
  <si>
    <t>All</t>
  </si>
  <si>
    <t>https://robu.in/product/sandisk-micro-sd-sdhc-32gb-class-10-memory-card-with-adapter/</t>
  </si>
  <si>
    <t>SanDisk Ultra microSD 32GB; listing shows out of stock at time of check.</t>
  </si>
  <si>
    <t>Title: microSD Card 32GB | Verified/QA Tested | Quick‑Start + Support | GST Invoice
Bullets:
- Key specs: Storage
- Use case: Dev kits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</si>
  <si>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https://robu.in/product/sandisk-micro-sd-sdhc-32gb-class-10-memory-card-with-adapter/</t>
  </si>
  <si>
    <t>PWR-MP2459</t>
  </si>
  <si>
    <t>Power</t>
  </si>
  <si>
    <t>Buck Converter Module MP2459</t>
  </si>
  <si>
    <t>MPS</t>
  </si>
  <si>
    <t>MP2459</t>
  </si>
  <si>
    <t>DC-DC buck module</t>
  </si>
  <si>
    <t>Power rails</t>
  </si>
  <si>
    <t>All boards</t>
  </si>
  <si>
    <t>Title: Buck Converter Module MP2459 | Verified/QA Tested | Quick‑Start + Support | GST Invoice
Bullets:
- Key specs: DC-DC buck module
- Use case: Power rails
- Pre‑tested unit with packaging QC sticker + photo proof before dispatch.
- Support: setup guide (QR) + WhatsApp troubleshooting; replacement DOA policy.
- Ideal for startups/labs/training centers; bulk pricing available.</t>
  </si>
  <si>
    <t>Demand 30.0/40 (units=15.0); Margin 0.0/30 (GM%=-1489898978978990129152.0); Channel 5.0/10 (AmazonNet%=NA); Sourcing 6.2/10 (mode=Local); Lead 10.0/10 (days=7.0); Fit 0.0/10; Penalty 0.0/10.</t>
  </si>
  <si>
    <t>PWR-AMS1117</t>
  </si>
  <si>
    <t>LDO Regulator AMS1117</t>
  </si>
  <si>
    <t>AMS</t>
  </si>
  <si>
    <t>AMS1117</t>
  </si>
  <si>
    <t>3.3V/5V</t>
  </si>
  <si>
    <t>Linear regulator</t>
  </si>
  <si>
    <t>Low power rails</t>
  </si>
  <si>
    <t>https://robu.in/product/ams1117-3-3v-power-supply-module/</t>
  </si>
  <si>
    <t>Risky at planned sell (needs bundle or cheaper sourcing). Gross≈-11%. Est Amazon net≈-29% after ~18% fees.</t>
  </si>
  <si>
    <t>Title: LDO Regulator AMS1117 | Verified/QA Tested | Quick‑Start + Support | GST Invoice
Bullets:
- Key specs: Linear regulator
- Use case: Low power rails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</si>
  <si>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https://robu.in/product/ams1117-3-3v-power-supply-module/</t>
  </si>
  <si>
    <t>Risky at planned sell (needs bundle or cheaper sourcing). Gross≈-11%. Est Amazon net≈-29% after ~18% fees. | Channels: Direct (B2B) + IndiaMART RFQs; avoid Amazon unless bundled/priced higher; also local resellers. | Bundle: Add: essentials kit (cables/adapters) + quick‑start card + basic support + 7‑day DOA replacement.</t>
  </si>
  <si>
    <t>Demand 30.0/40 (units=15.0); Margin 0.3/30 (GM%=0.3); Channel 0.0/10 (AmazonNet%=NA); Sourcing 6.2/10 (mode=Local); Lead 10.0/10 (days=7.0); Fit 0.0/10; Penalty 0.0/10.</t>
  </si>
  <si>
    <t>PWR-XL4015</t>
  </si>
  <si>
    <t>XL4015 5A Buck Module</t>
  </si>
  <si>
    <t>XLSEMI</t>
  </si>
  <si>
    <t>XL4015</t>
  </si>
  <si>
    <t>High current buck</t>
  </si>
  <si>
    <t>Power supply</t>
  </si>
  <si>
    <t>Labs</t>
  </si>
  <si>
    <t>https://robu.in/product/xl4015-5a-dc-dc-step-down-adjustable-power-supply-buck-module-led-with-heatsink/</t>
  </si>
  <si>
    <t>Title: XL4015 5A Buck Module | Verified/QA Tested | Quick‑Start + Support | GST Invoice
Bullets:
- Key specs: High current buck
- Use case: Power supply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</si>
  <si>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https://robu.in/product/xl4015-5a-dc-dc-step-down-adjustable-power-supply-buck-module-led-with-heatsink/</t>
  </si>
  <si>
    <t>PWR-LM2596</t>
  </si>
  <si>
    <t>LM2596 Buck Module</t>
  </si>
  <si>
    <t>TI/Clone</t>
  </si>
  <si>
    <t>LM2596</t>
  </si>
  <si>
    <t>Common buck module</t>
  </si>
  <si>
    <t>Prototyping</t>
  </si>
  <si>
    <t>https://robu.in/product/lm2596s-dc-dc-buck-converter-power-supply/</t>
  </si>
  <si>
    <t>Title: LM2596 Buck Module | Verified/QA Tested | Quick‑Start + Support | GST Invoice
Bullets:
- Key specs: Common buck module
- Use case: Prototyping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</si>
  <si>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https://robu.in/product/lm2596s-dc-dc-buck-converter-power-supply/</t>
  </si>
  <si>
    <t>Risky at planned sell (needs bundle or cheaper sourcing). Gross≈15%. Est Amazon net≈-3% after ~18% fees. | Channels: Direct (B2B) + IndiaMART RFQs; avoid Amazon unless bundled/priced higher; also local resellers. | Bundle: Add: essentials kit (cables/adapters) + quick‑start card + basic support + 7‑day DOA replacement.</t>
  </si>
  <si>
    <t>Demand 12.0/40 (units=6.0); Margin 0.3/30 (GM%=0.3); Channel 0.0/10 (AmazonNet%=NA); Sourcing 6.2/10 (mode=Local); Lead 10.0/10 (days=7.0); Fit 0.0/10; Penalty 0.0/10.</t>
  </si>
  <si>
    <t>PWR-IRFZ44</t>
  </si>
  <si>
    <t>Component</t>
  </si>
  <si>
    <t>MOSFET IRFZ44N</t>
  </si>
  <si>
    <t>IR</t>
  </si>
  <si>
    <t>IRFZ44N</t>
  </si>
  <si>
    <t>Power MOSFET</t>
  </si>
  <si>
    <t>Switching</t>
  </si>
  <si>
    <t>EV/Power</t>
  </si>
  <si>
    <t>Title: MOSFET IRFZ44N | Verified/QA Tested | Quick‑Start + Support | GST Invoice
Bullets:
- Key specs: Power MOSFET
- Use case: Switching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</si>
  <si>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(GM%=-909090902330909130752.0); Channel 5.0/10 (AmazonNet%=NA); Sourcing 6.2/10 (mode=Local); Lead 10.0/10 (days=7.0); Fit 0.0/10; Penalty 0.0/10.</t>
  </si>
  <si>
    <t>PWR-MLCC-KIT</t>
  </si>
  <si>
    <t>MLCC Capacitor Assortment Kit</t>
  </si>
  <si>
    <t>0402/0603</t>
  </si>
  <si>
    <t>Assorted</t>
  </si>
  <si>
    <t>Decoupling caps</t>
  </si>
  <si>
    <t>Any PCB</t>
  </si>
  <si>
    <t>Title: MLCC Capacitor Assortment Kit | Verified/QA Tested | Quick‑Start + Support | GST Invoice
Bullets:
- Key specs: Decoupling caps
- Use case: Any PCB
- Pre‑tested unit with packaging QC sticker + photo proof before dispatch.
- Support: setup guide (QR) + WhatsApp troubleshooting; replacement DOA policy.
- Ideal for startups/labs/training centers; bulk pricing available.</t>
  </si>
  <si>
    <t>Demand 4.0/40 (units=2.0); Margin 0.0/30 (GM%=-71829404626849611776.0); Channel 5.0/10 (AmazonNet%=NA); Sourcing 6.2/10 (mode=Local); Lead 10.0/10 (days=7.0); Fit 0.0/10; Penalty 0.0/10.</t>
  </si>
  <si>
    <t>PWR-IND-KIT</t>
  </si>
  <si>
    <t>Inductor Assortment Kit</t>
  </si>
  <si>
    <t>SMD Inductors</t>
  </si>
  <si>
    <t>Power inductors</t>
  </si>
  <si>
    <t>DC-DC designs</t>
  </si>
  <si>
    <t>Works (healthy margin). Gross≈47%. Est Amazon net≈29% after ~18% fees.</t>
  </si>
  <si>
    <t>Title: Inductor Assortment Kit | Verified/QA Tested | Quick‑Start + Support | GST Invoice
Bullets:
- Key specs: Power inductors
- Use case: DC-DC designs
- Pre‑tested unit with packaging QC sticker + photo proof before dispatch.
- Support: setup guide (QR) + WhatsApp troubleshooting; replacement DOA policy.
- Ideal for startups/labs/training centers; bulk pricing available.</t>
  </si>
  <si>
    <t>Works (healthy margin). Gross≈47%. Est Amazon net≈29% after ~18% fees. | Channels: Amazon (as verified kit) + Direct (B2B) + IndiaMART; also Website/WhatsApp + LinkedIn outreach. | Bundle: Add: essentials kit (cables/adapters) + quick‑start card + basic support + 7‑day DOA replacement.</t>
  </si>
  <si>
    <t>Demand 0.0/40 (units=0.0); Margin 0.0/30 (GM%=-87542086886887538688.0); Channel 5.0/10 (AmazonNet%=NA); Sourcing 6.2/10 (mode=Local); Lead 10.0/10 (days=7.0); Fit 0.0/10; Penalty 0.0/10.</t>
  </si>
  <si>
    <t>PWR-TVS-SMBJ</t>
  </si>
  <si>
    <t>TVS Diode SMBJ Series</t>
  </si>
  <si>
    <t>Littelfuse/Generic</t>
  </si>
  <si>
    <t>SMBJ</t>
  </si>
  <si>
    <t>Surge/ESD protection</t>
  </si>
  <si>
    <t>Industrial boards</t>
  </si>
  <si>
    <t>Title: TVS Diode SMBJ Series | Verified/QA Tested | Quick‑Start + Support | GST Invoice
Bullets:
- Key specs: Surge/ESD protection
- Use case: Industrial boards
- Pre‑tested unit with packaging QC sticker + photo proof before dispatch.
- Support: setup guide (QR) + WhatsApp troubleshooting; replacement DOA policy.
- Ideal for startups/labs/training centers; bulk pricing available.</t>
  </si>
  <si>
    <t>Demand 0.0/40 (units=0.0); Margin 0.0/30 (GM%=-2222222205538888843264.0); Channel 5.0/10 (AmazonNet%=NA); Sourcing 0.0/10 (mode=Import); Lead 10.0/10 (days=7.0); Fit 0.0/10; Penalty 0.0/10.</t>
  </si>
  <si>
    <t>TOOL-LOGIC-8CH</t>
  </si>
  <si>
    <t>Tool</t>
  </si>
  <si>
    <t>8-Channel USB Logic Analyzer</t>
  </si>
  <si>
    <t>Saleae clone</t>
  </si>
  <si>
    <t>24MHz typical</t>
  </si>
  <si>
    <t>Logic capture</t>
  </si>
  <si>
    <t>Debug</t>
  </si>
  <si>
    <t>https://robu.in/product/usb-logic-analyze-24m-8ch-mcu-arm-fpga-dsp-debug-tool/</t>
  </si>
  <si>
    <t>Saleae-compatible 24MHz 8ch logic analyzer (out of stock at time of check).</t>
  </si>
  <si>
    <t>Title: 8-Channel USB Logic Analyzer | Verified/QA Tested | Quick‑Start + Support | GST Invoice
Bullets:
- Key specs: Logic capture
- Use case: Debug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</si>
  <si>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https://robu.in/product/usb-logic-analyze-24m-8ch-mcu-arm-fpga-dsp-debug-tool/</t>
  </si>
  <si>
    <t>Demand 2.0/40 (units=1.0); Margin 0.3/30 (GM%=0.4); Channel 5.0/10 (AmazonNet%=NA); Sourcing 6.2/10 (mode=Local); Lead 10.0/10 (days=7.0); Fit 6.0/10; Penalty 0.0/10.</t>
  </si>
  <si>
    <t>TOOL-JTAG</t>
  </si>
  <si>
    <t>USB JTAG Programmer</t>
  </si>
  <si>
    <t>Xilinx/Altera JTAG</t>
  </si>
  <si>
    <t>Compatible</t>
  </si>
  <si>
    <t>Programming tool</t>
  </si>
  <si>
    <t>FPGA dev</t>
  </si>
  <si>
    <t>https://robu.in/product/xilinx-platform-usb-download-cable-jtag-programmer-for-fpga-cpld-c-mod-xc2c64a/</t>
  </si>
  <si>
    <t>Title: USB JTAG Programmer | Verified/QA Tested | Quick‑Start + Support | GST Invoice
Bullets:
- Key specs: Programming tool
- Use case: FPGA dev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</si>
  <si>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https://robu.in/product/xilinx-platform-usb-download-cable-jtag-programmer-for-fpga-cpld-c-mod-xc2c64a/</t>
  </si>
  <si>
    <t>Works (healthy margin). Gross≈28%. Est Amazon net≈10% after ~18% fees. | Channels: Amazon (as verified kit) + Direct (B2B) + IndiaMART; also Website/WhatsApp + LinkedIn outreach. | Bundle: Add: ribbon cable/adapter set + USB extension + ESD pouch + printed quick‑start + driver QR + WhatsApp support + 6‑month replacement.</t>
  </si>
  <si>
    <t>Demand 2.0/40 (units=1.0); Margin 0.3/30 (GM%=0.4); Channel 5.0/10 (AmazonNet%=NA); Sourcing 6.2/10 (mode=Local); Lead 10.0/10 (days=7.0); Fit 4.0/10; Penalty 2.0/10.</t>
  </si>
  <si>
    <t>TOOL-DMM</t>
  </si>
  <si>
    <t>Digital Multimeter (basic)</t>
  </si>
  <si>
    <t>DMM</t>
  </si>
  <si>
    <t>Auto-range</t>
  </si>
  <si>
    <t>Test equipment</t>
  </si>
  <si>
    <t>https://robu.in/product/mastech-ms8332c-4000-counts-auto-ranging-digital-multimeter/</t>
  </si>
  <si>
    <t>Mastech MS8332C used as an auto-ranging DMM reference.</t>
  </si>
  <si>
    <t>Title: Digital Multimeter (basic) | Verified/QA Tested | Quick‑Start + Support | GST Invoice
Bullets:
- Key specs: Test equipment
- Use case: Debug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</si>
  <si>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https://robu.in/product/mastech-ms8332c-4000-counts-auto-ranging-digital-multimeter/</t>
  </si>
  <si>
    <t>ACC-BREADBOARD</t>
  </si>
  <si>
    <t>Breadboard (full size)</t>
  </si>
  <si>
    <t>BB</t>
  </si>
  <si>
    <t>https://robu.in/product/mb102-830-points-solderless-prototype-pcb-breadboard-high-quality/</t>
  </si>
  <si>
    <t>MB102 830-point breadboard price.</t>
  </si>
  <si>
    <t>Works for Direct/B2B; marketplaces need bundle/price-up. Gross≈25%. Est Amazon net≈7% after ~18% fees.</t>
  </si>
  <si>
    <t>Title: Breadboard (full size) | Verified/QA Tested | Quick‑Start + Support | GST Invoice
Bullets:
- Key specs: Prototyping
- Use case: Prototyping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</si>
  <si>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https://robu.in/product/mb102-830-points-solderless-prototype-pcb-breadboard-high-quality/</t>
  </si>
  <si>
    <t>Works for Direct/B2B; marketplaces need bundle/price-up. Gross≈25%. Est Amazon net≈7% after ~18% fees. | Channels: Amazon (as verified kit) + Direct (B2B) + IndiaMART; also Website/WhatsApp + LinkedIn outreach. | Bundle: Add: essentials kit (cables/adapters) + quick‑start card + basic support + 7‑day DOA replacement.</t>
  </si>
  <si>
    <t>Demand 16.0/40 (units=8.0); Margin 0.3/30 (GM%=0.4); Channel 5.0/10 (AmazonNet%=NA); Sourcing 6.2/10 (mode=Local); Lead 10.0/10 (days=7.0); Fit 0.0/10; Penalty 0.0/10.</t>
  </si>
  <si>
    <t>ACC-JUMPER</t>
  </si>
  <si>
    <t>Jumper Wires Pack</t>
  </si>
  <si>
    <t>Dupont</t>
  </si>
  <si>
    <t>40pcs</t>
  </si>
  <si>
    <t>https://robu.in/product/20-cm-40-pin-dupont-male-male-male-female-female-female-cable-combo/</t>
  </si>
  <si>
    <t>Combo pack M-M, M-F, F-F (40 wires each).</t>
  </si>
  <si>
    <t>Title: Jumper Wires Pack | Verified/QA Tested | Quick‑Start + Support | GST Invoice
Bullets:
- Key specs: Prototyping
- Use case: Prototyping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</si>
  <si>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https://robu.in/product/20-cm-40-pin-dupont-male-male-male-female-female-female-cable-combo/</t>
  </si>
  <si>
    <t>Demand 24.0/40 (units=12.0); Margin 0.3/30 (GM%=0.4); Channel 5.0/10 (AmazonNet%=NA); Sourcing 6.2/10 (mode=Local); Lead 10.0/10 (days=7.0); Fit 0.0/10; Penalty 0.0/10.</t>
  </si>
  <si>
    <t>TOOL-SOLDER-KIT</t>
  </si>
  <si>
    <t>Soldering Kit</t>
  </si>
  <si>
    <t>Solder kit</t>
  </si>
  <si>
    <t>Soldering basics</t>
  </si>
  <si>
    <t>Assembly</t>
  </si>
  <si>
    <t>https://robu.in/product/pro-range-basic-soldering-iron-kit/</t>
  </si>
  <si>
    <t>Pro-Range Basic Soldering Iron Kit.</t>
  </si>
  <si>
    <t>Title: Soldering Kit | Verified/QA Tested | Quick‑Start + Support | GST Invoice
Bullets:
- Key specs: Soldering basics
- Use case: Assembly
- Pre‑tested unit with packaging QC sticker + photo proof before dispatch.
- Support: setup guide (QR) + WhatsApp troubleshooting; replacement DOA policy.
- Ideal for startups/labs/training centers; bulk pricing available.</t>
  </si>
  <si>
    <t>Robu.in | https://robu.in/product/pro-range-basic-soldering-iron-kit/</t>
  </si>
  <si>
    <t>Plan Budget (INR)</t>
  </si>
  <si>
    <t>Total Stock Investment (INR)</t>
  </si>
  <si>
    <t>Budget Remaining (INR)</t>
  </si>
  <si>
    <t>Qty</t>
  </si>
  <si>
    <t>Line_Total_INR</t>
  </si>
  <si>
    <t>Expected_Gross_Profit_INR</t>
  </si>
  <si>
    <t>TOTAL</t>
  </si>
  <si>
    <t>Self-branded Artix-7 A35T FPGA Board – BOM &amp; Cost Model</t>
  </si>
  <si>
    <t>Edit blue cells (unit costs, quantities). Totals update automatically.</t>
  </si>
  <si>
    <t>Line</t>
  </si>
  <si>
    <t>MPN/Spec</t>
  </si>
  <si>
    <t>Unit_Cost_INR</t>
  </si>
  <si>
    <t>Supplier</t>
  </si>
  <si>
    <t>FPGA IC</t>
  </si>
  <si>
    <t>XC7A35T (BGA)</t>
  </si>
  <si>
    <t>Import/LCSC</t>
  </si>
  <si>
    <t>Core FPGA</t>
  </si>
  <si>
    <t>QSPI Flash</t>
  </si>
  <si>
    <t>W25Q128JV (128Mbit)</t>
  </si>
  <si>
    <t>Local/LCSC</t>
  </si>
  <si>
    <t>Config flash</t>
  </si>
  <si>
    <t>DDR3 SDRAM</t>
  </si>
  <si>
    <t>4Gb x16 (e.g., MT41K256M16)</t>
  </si>
  <si>
    <t>Oscillator</t>
  </si>
  <si>
    <t>100MHz low-jitter</t>
  </si>
  <si>
    <t>Clock</t>
  </si>
  <si>
    <t>12MHz</t>
  </si>
  <si>
    <t>PMIC / Regulators</t>
  </si>
  <si>
    <t>Multi-rail for FPGA</t>
  </si>
  <si>
    <t>Buck Converters</t>
  </si>
  <si>
    <t>1.0V/1.8V/3.3V rails</t>
  </si>
  <si>
    <t>LDO Regulators</t>
  </si>
  <si>
    <t>Low-noise rails</t>
  </si>
  <si>
    <t>USB-UART IC</t>
  </si>
  <si>
    <t>Console</t>
  </si>
  <si>
    <t>USB-JTAG IC</t>
  </si>
  <si>
    <t>Programming</t>
  </si>
  <si>
    <t>Connectors &amp; Headers</t>
  </si>
  <si>
    <t>Type-C, PMOD, GPIO</t>
  </si>
  <si>
    <t>I/O</t>
  </si>
  <si>
    <t>Passive Components</t>
  </si>
  <si>
    <t>MLCC, resistors</t>
  </si>
  <si>
    <t>Decoupling</t>
  </si>
  <si>
    <t>Inductors</t>
  </si>
  <si>
    <t>ESD/Protection</t>
  </si>
  <si>
    <t>TVS, ESD diodes</t>
  </si>
  <si>
    <t>Robustness</t>
  </si>
  <si>
    <t>PCB Fabrication</t>
  </si>
  <si>
    <t>6-layer PCB</t>
  </si>
  <si>
    <t>PCB vendor</t>
  </si>
  <si>
    <t>Prototype qty 10-20</t>
  </si>
  <si>
    <t>SMT Assembly</t>
  </si>
  <si>
    <t>Pick &amp; place + reflow</t>
  </si>
  <si>
    <t>SMT vendor</t>
  </si>
  <si>
    <t>Prototype qty</t>
  </si>
  <si>
    <t>Testing &amp; QA</t>
  </si>
  <si>
    <t>Bring-up, basic tests</t>
  </si>
  <si>
    <t>In-house</t>
  </si>
  <si>
    <t>Packaging</t>
  </si>
  <si>
    <t>Box + foam</t>
  </si>
  <si>
    <t>TOTAL (Board Cost)</t>
  </si>
  <si>
    <t>Amazon + IndiaMart Listing Strategy (Checklist)</t>
  </si>
  <si>
    <t>Use this as a pre-launch checklist. Mark status and add links/notes.</t>
  </si>
  <si>
    <t>Channel</t>
  </si>
  <si>
    <t>Task</t>
  </si>
  <si>
    <t>Owner</t>
  </si>
  <si>
    <t>Status</t>
  </si>
  <si>
    <t>Due_Date</t>
  </si>
  <si>
    <t>Notes/Links</t>
  </si>
  <si>
    <t>Amazon</t>
  </si>
  <si>
    <t>Create Seller Central account (GST, bank, KYC)</t>
  </si>
  <si>
    <t>You</t>
  </si>
  <si>
    <t>TODO</t>
  </si>
  <si>
    <t>Decide FBA vs FBM and shipping SLA</t>
  </si>
  <si>
    <t>Prepare product photography (white background + usage)</t>
  </si>
  <si>
    <t>Create bundles: Sensor Kit / FPGA Starter Kit / AI Camera Kit</t>
  </si>
  <si>
    <t>Write titles &amp; SEO bullets for top 30 SKUs</t>
  </si>
  <si>
    <t>Set pricing: include Amazon fees + return allowance</t>
  </si>
  <si>
    <t>Set warranty/returns policy &amp; support WhatsApp</t>
  </si>
  <si>
    <t>IndiaMart</t>
  </si>
  <si>
    <t>Create company profile + catalog PDFs</t>
  </si>
  <si>
    <t>Enable lead tracking + WhatsApp templates</t>
  </si>
  <si>
    <t>Target: colleges + R&amp;D labs + startups (Bangalore first)</t>
  </si>
  <si>
    <t>Set MOQ tiers + bulk discount table</t>
  </si>
  <si>
    <t>Create product spec sheets (1-page PDF) for boards &amp; modules</t>
  </si>
  <si>
    <t>Customer support SLA + replacement policy for defective boards</t>
  </si>
  <si>
    <t>Accounting: inventory ledger + GST invoicing flow</t>
  </si>
  <si>
    <t>Vendors / Suppliers (Seed List)</t>
  </si>
  <si>
    <t>Add your contacts, negotiated pricing, GST details, and lead times.</t>
  </si>
  <si>
    <t>Type</t>
  </si>
  <si>
    <t>Vendor</t>
  </si>
  <si>
    <t>Location</t>
  </si>
  <si>
    <t>Website</t>
  </si>
  <si>
    <t>What_to_buy</t>
  </si>
  <si>
    <t>Lead_Time</t>
  </si>
  <si>
    <t>Distributor</t>
  </si>
  <si>
    <t>element14 / Farnell</t>
  </si>
  <si>
    <t>India</t>
  </si>
  <si>
    <t>https://in.element14.com/</t>
  </si>
  <si>
    <t>Boards, components</t>
  </si>
  <si>
    <t>2-7d</t>
  </si>
  <si>
    <t>Good for branded parts</t>
  </si>
  <si>
    <t>Mouser Electronics</t>
  </si>
  <si>
    <t>https://www.mouser.in/</t>
  </si>
  <si>
    <t>ICs, connectors</t>
  </si>
  <si>
    <t>5-10d</t>
  </si>
  <si>
    <t>Import duty included in some cases</t>
  </si>
  <si>
    <t>Digi-Key</t>
  </si>
  <si>
    <t>https://www.digikey.in/</t>
  </si>
  <si>
    <t>ICs, sensors</t>
  </si>
  <si>
    <t>Strong authenticity</t>
  </si>
  <si>
    <t>Local Distributor</t>
  </si>
  <si>
    <t>Rynex Technologies</t>
  </si>
  <si>
    <t>Bangalore</t>
  </si>
  <si>
    <t>(add URL)</t>
  </si>
  <si>
    <t>FPGA boards/modules</t>
  </si>
  <si>
    <t>1-5d</t>
  </si>
  <si>
    <t>Talk for bulk pricing</t>
  </si>
  <si>
    <t>Market</t>
  </si>
  <si>
    <t>SP Road Electronics Market</t>
  </si>
  <si>
    <t>-</t>
  </si>
  <si>
    <t>Prototype parts</t>
  </si>
  <si>
    <t>Same day</t>
  </si>
  <si>
    <t>Great for fast small stock</t>
  </si>
  <si>
    <t>PCB Fab</t>
  </si>
  <si>
    <t>PCB Power</t>
  </si>
  <si>
    <t>https://www.pcbpower.com/</t>
  </si>
  <si>
    <t>PCB fabrication</t>
  </si>
  <si>
    <t>7-15d</t>
  </si>
  <si>
    <t>Prototype &amp; small batch</t>
  </si>
  <si>
    <t>SMT/EMS</t>
  </si>
  <si>
    <t>Kaynes / Syrma / Tessolve</t>
  </si>
  <si>
    <t>Karnataka/TN</t>
  </si>
  <si>
    <t>SMT assembly</t>
  </si>
  <si>
    <t>7-21d</t>
  </si>
  <si>
    <t>For branded board</t>
  </si>
  <si>
    <t>China Components</t>
  </si>
  <si>
    <t>LCSC</t>
  </si>
  <si>
    <t>China</t>
  </si>
  <si>
    <t>https://www.lcsc.com/</t>
  </si>
  <si>
    <t>ICs, passives</t>
  </si>
  <si>
    <t>Good pricing for BOM</t>
  </si>
  <si>
    <t>China PCB</t>
  </si>
  <si>
    <t>JLCPCB</t>
  </si>
  <si>
    <t>https://jlcpcb.com/</t>
  </si>
  <si>
    <t>PCB + assembly</t>
  </si>
  <si>
    <t>Fast prototypes</t>
  </si>
  <si>
    <t>Marketplace</t>
  </si>
  <si>
    <t>Alibaba</t>
  </si>
  <si>
    <t>Global</t>
  </si>
  <si>
    <t>https://www.alibaba.com/</t>
  </si>
  <si>
    <t>Bulk electronics</t>
  </si>
  <si>
    <t>10-30d</t>
  </si>
  <si>
    <t>Verify seller ratings</t>
  </si>
  <si>
    <t>Vendor_Name</t>
  </si>
  <si>
    <t>Region</t>
  </si>
  <si>
    <t>Email</t>
  </si>
  <si>
    <t>Phone</t>
  </si>
  <si>
    <t>Address</t>
  </si>
  <si>
    <t>Source_URL</t>
  </si>
  <si>
    <t>Source_Date</t>
  </si>
  <si>
    <t>Marketplace/Distributor</t>
  </si>
  <si>
    <t>info@robu.in</t>
  </si>
  <si>
    <t>1800 266 6123 / 020 6819 7600</t>
  </si>
  <si>
    <t>Robu.in contact + registered office info.</t>
  </si>
  <si>
    <t>https://www.pololu.com/distributors/0J305</t>
  </si>
  <si>
    <t>Amazon Seller Services Pvt Ltd (Amazon.in marketplace)</t>
  </si>
  <si>
    <t>https://www.amazon.in/</t>
  </si>
  <si>
    <t>Seller details vary per listing; capture seller name + invoice address during purchase.</t>
  </si>
  <si>
    <t>Alibaba.com (Alibaba Group)</t>
  </si>
  <si>
    <t>Supplier varies per listing; capture supplier profile name + address from Alibaba supplier page.</t>
  </si>
  <si>
    <t>Global/India</t>
  </si>
  <si>
    <t>Use for genuine parts; landed cost varies with shipping/duty.</t>
  </si>
  <si>
    <t>Digi-Key Electronics</t>
  </si>
  <si>
    <t>Use for genuine parts; consider DHL shipping + duties.</t>
  </si>
  <si>
    <t>LCSC Electronics</t>
  </si>
  <si>
    <t>China/Global</t>
  </si>
  <si>
    <t>Good for passives/ICs; verify MSL and authenticity for critical parts.</t>
  </si>
  <si>
    <t>Generated 2025-12-27 05:35 | High = Top 20 by Priority_Score | Showing Top 10</t>
  </si>
  <si>
    <t>Owner_Action_Next</t>
  </si>
  <si>
    <t>Launch listings + outreach; start small ads; monitor returns/DOA; recheck price bi-weekly</t>
  </si>
  <si>
    <t>Order sample + validate; confirm DOA/return; capture evidence link; then mark Approved=Y</t>
  </si>
  <si>
    <t>Generated 2025-12-27 05:35 | High = Top 20 by Priority_Score | Rows: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</si>
</sst>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₹#,##0"/>
    <numFmt numFmtId="166" formatCode="\₹#,##0.00"/>
    <numFmt numFmtId="167" formatCode="yyyy\-mm\-dd"/>
  </numFmts>
  <fonts count="10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sz val="11"/>
      <color rgb="FF0000FF"/>
      <name val="Calibri"/>
    </font>
    <font>
      <b/>
      <sz val="14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EF9C3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hair">
        <color rgb="FFE5E7E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2" fontId="3" fillId="0" borderId="0" xfId="0" applyNumberFormat="1" applyFont="1"/>
    <xf numFmtId="1" fontId="3" fillId="0" borderId="0" xfId="0" applyNumberFormat="1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2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165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5" fontId="2" fillId="0" borderId="0" xfId="0" applyNumberFormat="1" applyFont="1"/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166" fontId="3" fillId="3" borderId="1" xfId="0" applyNumberFormat="1" applyFont="1" applyFill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6" fontId="0" fillId="0" borderId="0" xfId="0" applyNumberFormat="1"/>
    <xf numFmtId="0" fontId="6" fillId="3" borderId="1" xfId="1" applyFill="1" applyBorder="1" applyAlignment="1">
      <alignment horizontal="left" vertical="top" wrapText="1"/>
    </xf>
    <xf numFmtId="166" fontId="7" fillId="4" borderId="1" xfId="0" applyNumberFormat="1" applyFont="1" applyFill="1" applyBorder="1" applyAlignment="1">
      <alignment vertical="top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8" fillId="5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166" fontId="0" fillId="4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66" fontId="3" fillId="4" borderId="1" xfId="0" applyNumberFormat="1" applyFon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165" fontId="0" fillId="4" borderId="1" xfId="0" applyNumberFormat="1" applyFill="1" applyBorder="1" applyAlignment="1">
      <alignment vertical="top" wrapText="1"/>
    </xf>
    <xf numFmtId="167" fontId="0" fillId="4" borderId="1" xfId="0" applyNumberFormat="1" applyFill="1" applyBorder="1" applyAlignment="1">
      <alignment vertical="top" wrapText="1"/>
    </xf>
    <xf numFmtId="0" fontId="0" fillId="4" borderId="0" xfId="0" applyFill="1"/>
    <xf numFmtId="167" fontId="0" fillId="4" borderId="0" xfId="0" applyNumberFormat="1" applyFill="1"/>
    <xf numFmtId="166" fontId="0" fillId="4" borderId="0" xfId="0" applyNumberFormat="1" applyFill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/>
    <xf numFmtId="0" fontId="9" fillId="6" borderId="0" xfId="0" applyFont="1" applyFill="1" applyAlignment="1">
      <alignment horizontal="left" vertical="center" wrapText="1"/>
    </xf>
    <xf numFmtId="0" fontId="6" fillId="0" borderId="0" xfId="1"/>
    <xf numFmtId="0" fontId="5" fillId="5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obu.in/product/xilinx-platform-usb-download-cable-jtag-programmer-for-fpga-cpld-c-mod-xc2c64a/" TargetMode="External"/><Relationship Id="rId2" Type="http://schemas.openxmlformats.org/officeDocument/2006/relationships/hyperlink" Target="https://www.amazon.in/s?k=Ultra96-V2+SOM+Ultra96-V2" TargetMode="External"/><Relationship Id="rId1" Type="http://schemas.openxmlformats.org/officeDocument/2006/relationships/hyperlink" Target="https://www.amazon.in/Arty-A7-Artix-7-Development-Hobbyists/dp/B07D1DVRG6" TargetMode="External"/><Relationship Id="rId6" Type="http://schemas.openxmlformats.org/officeDocument/2006/relationships/hyperlink" Target="https://www.amazon.in/Altera-MAX10-FPGA-Development-Board/dp/B07B4WPKGS" TargetMode="External"/><Relationship Id="rId5" Type="http://schemas.openxmlformats.org/officeDocument/2006/relationships/hyperlink" Target="https://www.amazon.in/s?k=iCE40+UltraPlus+Dev+Board+iCE40UP5K" TargetMode="External"/><Relationship Id="rId4" Type="http://schemas.openxmlformats.org/officeDocument/2006/relationships/hyperlink" Target="https://www.amazon.in/Numato-Lab-Spartan-Development-Board/dp/B00JA2FA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1" sqref="A11"/>
    </sheetView>
  </sheetViews>
  <sheetFormatPr defaultRowHeight="14.4" x14ac:dyDescent="0.3"/>
  <cols>
    <col min="1" max="1" width="120" customWidth="1"/>
    <col min="2" max="2" width="18" customWidth="1"/>
  </cols>
  <sheetData>
    <row r="1" spans="1:2" ht="21" customHeight="1" x14ac:dyDescent="0.4">
      <c r="A1" s="1" t="s">
        <v>0</v>
      </c>
    </row>
    <row r="3" spans="1:2" x14ac:dyDescent="0.3">
      <c r="A3" s="2" t="s">
        <v>1</v>
      </c>
    </row>
    <row r="5" spans="1:2" x14ac:dyDescent="0.3">
      <c r="A5" s="3" t="s">
        <v>2</v>
      </c>
    </row>
    <row r="6" spans="1:2" x14ac:dyDescent="0.3">
      <c r="A6" s="3" t="s">
        <v>3</v>
      </c>
    </row>
    <row r="7" spans="1:2" ht="28.8" customHeight="1" x14ac:dyDescent="0.3">
      <c r="A7" s="3" t="s">
        <v>4</v>
      </c>
    </row>
    <row r="8" spans="1:2" x14ac:dyDescent="0.3">
      <c r="A8" s="3" t="s">
        <v>5</v>
      </c>
    </row>
    <row r="9" spans="1:2" x14ac:dyDescent="0.3">
      <c r="A9" s="3" t="s">
        <v>6</v>
      </c>
    </row>
    <row r="12" spans="1:2" x14ac:dyDescent="0.3">
      <c r="A12" t="s">
        <v>7</v>
      </c>
      <c r="B12" s="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36" customWidth="1"/>
    <col min="2" max="2" width="18" customWidth="1"/>
    <col min="3" max="3" width="70" customWidth="1"/>
  </cols>
  <sheetData>
    <row r="1" spans="1:3" ht="18" customHeight="1" x14ac:dyDescent="0.35">
      <c r="A1" s="5" t="s">
        <v>9</v>
      </c>
    </row>
    <row r="3" spans="1:3" x14ac:dyDescent="0.3">
      <c r="A3" s="6" t="s">
        <v>10</v>
      </c>
      <c r="B3" s="6" t="s">
        <v>11</v>
      </c>
      <c r="C3" s="6" t="s">
        <v>12</v>
      </c>
    </row>
    <row r="4" spans="1:3" x14ac:dyDescent="0.3">
      <c r="A4" s="3" t="s">
        <v>13</v>
      </c>
      <c r="B4" s="7">
        <v>83</v>
      </c>
      <c r="C4" s="3" t="s">
        <v>14</v>
      </c>
    </row>
    <row r="5" spans="1:3" x14ac:dyDescent="0.3">
      <c r="A5" s="3" t="s">
        <v>15</v>
      </c>
      <c r="B5" s="7">
        <v>0.1</v>
      </c>
      <c r="C5" s="3" t="s">
        <v>16</v>
      </c>
    </row>
    <row r="6" spans="1:3" x14ac:dyDescent="0.3">
      <c r="A6" s="3" t="s">
        <v>17</v>
      </c>
      <c r="B6" s="7">
        <v>0.18</v>
      </c>
      <c r="C6" s="3" t="s">
        <v>18</v>
      </c>
    </row>
    <row r="7" spans="1:3" x14ac:dyDescent="0.3">
      <c r="A7" s="3" t="s">
        <v>19</v>
      </c>
      <c r="B7" s="7">
        <v>150</v>
      </c>
      <c r="C7" s="3" t="s">
        <v>20</v>
      </c>
    </row>
    <row r="8" spans="1:3" x14ac:dyDescent="0.3">
      <c r="A8" s="3" t="s">
        <v>21</v>
      </c>
      <c r="B8" s="7">
        <v>0.18</v>
      </c>
      <c r="C8" s="3" t="s">
        <v>22</v>
      </c>
    </row>
    <row r="9" spans="1:3" x14ac:dyDescent="0.3">
      <c r="A9" s="3" t="s">
        <v>23</v>
      </c>
      <c r="B9" s="7">
        <v>0.35</v>
      </c>
      <c r="C9" s="3" t="s">
        <v>24</v>
      </c>
    </row>
    <row r="10" spans="1:3" x14ac:dyDescent="0.3">
      <c r="A10" s="3" t="s">
        <v>25</v>
      </c>
      <c r="B10" s="8">
        <v>40000</v>
      </c>
      <c r="C10" s="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V72"/>
  <sheetViews>
    <sheetView tabSelected="1" topLeftCell="CS1" workbookViewId="0">
      <pane ySplit="1" topLeftCell="A44" activePane="bottomLeft" state="frozen"/>
      <selection pane="bottomLeft" activeCell="CU59" sqref="CU59"/>
    </sheetView>
  </sheetViews>
  <sheetFormatPr defaultRowHeight="14.4" x14ac:dyDescent="0.3"/>
  <cols>
    <col min="1" max="1" width="16" customWidth="1"/>
    <col min="2" max="3" width="14" customWidth="1"/>
    <col min="4" max="4" width="30" customWidth="1"/>
    <col min="5" max="6" width="18" customWidth="1"/>
    <col min="7" max="7" width="14" customWidth="1"/>
    <col min="8" max="8" width="34" customWidth="1"/>
    <col min="9" max="9" width="22" customWidth="1"/>
    <col min="10" max="10" width="20" customWidth="1"/>
    <col min="11" max="11" width="12" customWidth="1"/>
    <col min="12" max="12" width="18" customWidth="1"/>
    <col min="13" max="16" width="16" customWidth="1"/>
    <col min="17" max="17" width="28" customWidth="1"/>
    <col min="18" max="18" width="16" customWidth="1"/>
    <col min="19" max="19" width="28" customWidth="1"/>
    <col min="20" max="20" width="14" customWidth="1"/>
    <col min="21" max="21" width="28" customWidth="1"/>
    <col min="22" max="22" width="14" customWidth="1"/>
    <col min="23" max="23" width="28" customWidth="1"/>
    <col min="24" max="24" width="14" customWidth="1"/>
    <col min="25" max="25" width="28" customWidth="1"/>
    <col min="26" max="26" width="14" customWidth="1"/>
    <col min="27" max="27" width="28" customWidth="1"/>
    <col min="28" max="28" width="10" customWidth="1"/>
    <col min="29" max="29" width="14" customWidth="1"/>
    <col min="30" max="30" width="16" customWidth="1"/>
    <col min="31" max="31" width="12" customWidth="1"/>
    <col min="32" max="34" width="10" customWidth="1"/>
    <col min="35" max="37" width="16" customWidth="1"/>
    <col min="38" max="38" width="14" customWidth="1"/>
    <col min="39" max="39" width="18" customWidth="1"/>
    <col min="40" max="40" width="12" customWidth="1"/>
    <col min="41" max="41" width="16" customWidth="1"/>
    <col min="42" max="42" width="10" customWidth="1"/>
    <col min="43" max="45" width="8" customWidth="1"/>
    <col min="46" max="46" width="14" customWidth="1"/>
    <col min="47" max="47" width="24" customWidth="1"/>
    <col min="48" max="48" width="14" customWidth="1"/>
    <col min="49" max="49" width="30" customWidth="1"/>
    <col min="55" max="55" width="27.77734375" bestFit="1" customWidth="1"/>
    <col min="56" max="56" width="23.44140625" bestFit="1" customWidth="1"/>
    <col min="74" max="74" width="20.6640625" customWidth="1"/>
    <col min="75" max="75" width="18" customWidth="1"/>
    <col min="76" max="76" width="21.5546875" customWidth="1"/>
    <col min="77" max="79" width="18" customWidth="1"/>
    <col min="80" max="80" width="25.21875" customWidth="1"/>
    <col min="81" max="81" width="35.109375" customWidth="1"/>
    <col min="82" max="82" width="24.33203125" customWidth="1"/>
    <col min="83" max="83" width="18" customWidth="1"/>
    <col min="84" max="84" width="26.109375" customWidth="1"/>
    <col min="85" max="85" width="31.44140625" customWidth="1"/>
    <col min="86" max="86" width="22.44140625" customWidth="1"/>
    <col min="87" max="92" width="18" customWidth="1"/>
    <col min="93" max="93" width="20.6640625" customWidth="1"/>
    <col min="94" max="94" width="21.5546875" customWidth="1"/>
    <col min="95" max="97" width="18" customWidth="1"/>
    <col min="98" max="99" width="16" customWidth="1"/>
    <col min="100" max="100" width="60" customWidth="1"/>
  </cols>
  <sheetData>
    <row r="1" spans="1:100" ht="57.6" customHeight="1" x14ac:dyDescent="0.3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  <c r="P1" s="6" t="s">
        <v>42</v>
      </c>
      <c r="Q1" s="6" t="s">
        <v>43</v>
      </c>
      <c r="R1" s="6" t="s">
        <v>44</v>
      </c>
      <c r="S1" s="6" t="s">
        <v>45</v>
      </c>
      <c r="T1" s="6" t="s">
        <v>46</v>
      </c>
      <c r="U1" s="6" t="s">
        <v>47</v>
      </c>
      <c r="V1" s="6" t="s">
        <v>48</v>
      </c>
      <c r="W1" s="6" t="s">
        <v>49</v>
      </c>
      <c r="X1" s="6" t="s">
        <v>50</v>
      </c>
      <c r="Y1" s="6" t="s">
        <v>51</v>
      </c>
      <c r="Z1" s="6" t="s">
        <v>52</v>
      </c>
      <c r="AA1" s="6" t="s">
        <v>53</v>
      </c>
      <c r="AB1" s="6" t="s">
        <v>54</v>
      </c>
      <c r="AC1" s="6" t="s">
        <v>55</v>
      </c>
      <c r="AD1" s="6" t="s">
        <v>56</v>
      </c>
      <c r="AE1" s="6" t="s">
        <v>57</v>
      </c>
      <c r="AF1" s="6" t="s">
        <v>58</v>
      </c>
      <c r="AG1" s="6" t="s">
        <v>59</v>
      </c>
      <c r="AH1" s="6" t="s">
        <v>60</v>
      </c>
      <c r="AI1" s="6" t="s">
        <v>61</v>
      </c>
      <c r="AJ1" s="6" t="s">
        <v>62</v>
      </c>
      <c r="AK1" s="6" t="s">
        <v>63</v>
      </c>
      <c r="AL1" s="6" t="s">
        <v>64</v>
      </c>
      <c r="AM1" s="6" t="s">
        <v>65</v>
      </c>
      <c r="AN1" s="6" t="s">
        <v>66</v>
      </c>
      <c r="AO1" s="6" t="s">
        <v>67</v>
      </c>
      <c r="AP1" s="6" t="s">
        <v>68</v>
      </c>
      <c r="AQ1" s="6" t="s">
        <v>69</v>
      </c>
      <c r="AR1" s="6" t="s">
        <v>70</v>
      </c>
      <c r="AS1" s="6" t="s">
        <v>71</v>
      </c>
      <c r="AT1" s="6" t="s">
        <v>12</v>
      </c>
      <c r="AU1" s="6" t="s">
        <v>72</v>
      </c>
      <c r="AV1" s="6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s="6" t="s">
        <v>98</v>
      </c>
      <c r="BW1" s="6" t="s">
        <v>99</v>
      </c>
      <c r="BX1" s="6" t="s">
        <v>100</v>
      </c>
      <c r="BY1" s="6" t="s">
        <v>101</v>
      </c>
      <c r="BZ1" s="6" t="s">
        <v>102</v>
      </c>
      <c r="CA1" s="6" t="s">
        <v>103</v>
      </c>
      <c r="CB1" s="6" t="s">
        <v>104</v>
      </c>
      <c r="CC1" s="6" t="s">
        <v>105</v>
      </c>
      <c r="CD1" s="6" t="s">
        <v>106</v>
      </c>
      <c r="CE1" s="6" t="s">
        <v>107</v>
      </c>
      <c r="CF1" s="6" t="s">
        <v>108</v>
      </c>
      <c r="CG1" s="6" t="s">
        <v>109</v>
      </c>
      <c r="CH1" s="6" t="s">
        <v>110</v>
      </c>
      <c r="CI1" s="6" t="s">
        <v>111</v>
      </c>
      <c r="CJ1" s="6" t="s">
        <v>112</v>
      </c>
      <c r="CK1" s="6" t="s">
        <v>113</v>
      </c>
      <c r="CL1" s="6" t="s">
        <v>114</v>
      </c>
      <c r="CM1" s="6" t="s">
        <v>115</v>
      </c>
      <c r="CN1" s="6" t="s">
        <v>116</v>
      </c>
      <c r="CO1" s="6" t="s">
        <v>117</v>
      </c>
      <c r="CP1" s="6" t="s">
        <v>118</v>
      </c>
      <c r="CQ1" s="6" t="s">
        <v>119</v>
      </c>
      <c r="CR1" s="6" t="s">
        <v>120</v>
      </c>
      <c r="CS1" s="6" t="s">
        <v>121</v>
      </c>
      <c r="CT1" s="56" t="s">
        <v>122</v>
      </c>
      <c r="CU1" s="36" t="s">
        <v>123</v>
      </c>
      <c r="CV1" s="36" t="s">
        <v>124</v>
      </c>
    </row>
    <row r="2" spans="1:100" ht="45" customHeight="1" x14ac:dyDescent="0.3">
      <c r="A2" s="9" t="s">
        <v>125</v>
      </c>
      <c r="B2" s="9" t="s">
        <v>126</v>
      </c>
      <c r="C2" s="9" t="s">
        <v>127</v>
      </c>
      <c r="D2" s="10" t="s">
        <v>128</v>
      </c>
      <c r="E2" s="9" t="s">
        <v>129</v>
      </c>
      <c r="F2" s="9" t="s">
        <v>130</v>
      </c>
      <c r="G2" s="10" t="s">
        <v>131</v>
      </c>
      <c r="H2" s="10" t="s">
        <v>132</v>
      </c>
      <c r="I2" s="10" t="s">
        <v>133</v>
      </c>
      <c r="J2" s="10" t="s">
        <v>134</v>
      </c>
      <c r="K2" s="9" t="s">
        <v>135</v>
      </c>
      <c r="L2" s="10" t="s">
        <v>136</v>
      </c>
      <c r="M2" s="26">
        <v>6500</v>
      </c>
      <c r="N2" s="26">
        <v>8500</v>
      </c>
      <c r="O2" s="11">
        <f t="shared" ref="O2:O20" si="0">IF(AND(M2&lt;&gt;"",N2&lt;&gt;""),(N2-M2)/N2,"")</f>
        <v>0.23529411764705882</v>
      </c>
      <c r="P2" s="12">
        <v>3371</v>
      </c>
      <c r="Q2" s="32" t="s">
        <v>137</v>
      </c>
      <c r="R2" s="12"/>
      <c r="S2" s="13" t="str">
        <f t="shared" ref="S2:S20" si="1">HYPERLINK("https://robu.in/?s="&amp;SUBSTITUTE($D2," ","+")&amp;"&amp;post_type=product","Robu search")</f>
        <v>Robu search</v>
      </c>
      <c r="T2" s="12">
        <v>282.8</v>
      </c>
      <c r="U2" s="13" t="s">
        <v>138</v>
      </c>
      <c r="V2" s="12"/>
      <c r="W2" s="13" t="str">
        <f t="shared" ref="W2:W33" si="2">HYPERLINK("https://www.lcsc.com/search?q="&amp;SUBSTITUTE($D2," ","+"),"LCSC search")</f>
        <v>LCSC search</v>
      </c>
      <c r="X2" s="12"/>
      <c r="Y2" s="13" t="str">
        <f t="shared" ref="Y2:Y33" si="3">HYPERLINK("https://www.mouser.in/c/?q="&amp;SUBSTITUTE($D2," ","+"),"Mouser search")</f>
        <v>Mouser search</v>
      </c>
      <c r="Z2" s="12"/>
      <c r="AA2" s="13" t="str">
        <f t="shared" ref="AA2:AA33" si="4">HYPERLINK("https://www.digikey.in/en/products/filter?keywords="&amp;SUBSTITUTE($D2," ","+"),"DigiKey search")</f>
        <v>DigiKey search</v>
      </c>
      <c r="AB2" s="9"/>
      <c r="AC2" s="9">
        <f>Inputs_Assumptions!$B$7</f>
        <v>150</v>
      </c>
      <c r="AD2" s="9">
        <f>Inputs_Assumptions!$B$7</f>
        <v>150</v>
      </c>
      <c r="AE2" s="11">
        <f>Inputs_Assumptions!$B$5</f>
        <v>0.1</v>
      </c>
      <c r="AF2" s="11">
        <f>Inputs_Assumptions!$B$6</f>
        <v>0.18</v>
      </c>
      <c r="AG2" s="14">
        <f>Inputs_Assumptions!$B$4</f>
        <v>83</v>
      </c>
      <c r="AH2" s="12"/>
      <c r="AI2" s="15"/>
      <c r="AJ2" s="16">
        <f t="shared" ref="AJ2:AJ33" si="5">IF(AH2&lt;&gt;"",(AH2*AG2+AD2)*(1+AE2)*(1+AF2),(M2+AD2)*(1+AF2))</f>
        <v>7847</v>
      </c>
      <c r="AK2" s="11">
        <f>Inputs_Assumptions!$B$9</f>
        <v>0.35</v>
      </c>
      <c r="AL2" s="16">
        <f t="shared" ref="AL2:AL33" si="6">IF(AJ2&lt;&gt;"",AJ2/(1-AK2),"")</f>
        <v>12072.307692307691</v>
      </c>
      <c r="AM2" s="11">
        <f>Inputs_Assumptions!$B$8</f>
        <v>0.18</v>
      </c>
      <c r="AN2" s="11">
        <f t="shared" ref="AN2:AN33" si="7">IF(AND(P2&lt;&gt;"",AJ2&lt;&gt;"",AM2&lt;&gt;""),(P2-AJ2-P2*AM2)/P2,"")</f>
        <v>-1.5077959062592701</v>
      </c>
      <c r="AO2" s="17" t="s">
        <v>139</v>
      </c>
      <c r="AP2" s="17">
        <v>4</v>
      </c>
      <c r="AQ2" s="17">
        <v>8</v>
      </c>
      <c r="AR2" s="17">
        <v>16</v>
      </c>
      <c r="AS2" s="17">
        <v>2</v>
      </c>
      <c r="AT2" s="10"/>
      <c r="AU2" s="9"/>
      <c r="AV2" s="10"/>
      <c r="AW2" t="s">
        <v>8</v>
      </c>
      <c r="AX2" t="s">
        <v>140</v>
      </c>
      <c r="BH2" t="s">
        <v>140</v>
      </c>
      <c r="BV2" s="9" t="s">
        <v>141</v>
      </c>
      <c r="BW2" s="9" t="s">
        <v>142</v>
      </c>
      <c r="BX2" s="9" t="s">
        <v>143</v>
      </c>
      <c r="BY2" s="9" t="s">
        <v>144</v>
      </c>
      <c r="BZ2" s="9" t="s">
        <v>145</v>
      </c>
      <c r="CA2" s="9" t="s">
        <v>146</v>
      </c>
      <c r="CB2" s="9" t="s">
        <v>147</v>
      </c>
      <c r="CC2" s="9" t="s">
        <v>148</v>
      </c>
      <c r="CD2" s="9"/>
      <c r="CE2" s="9" t="s">
        <v>149</v>
      </c>
      <c r="CF2" s="9"/>
      <c r="CG2" s="9"/>
      <c r="CH2" s="9" t="s">
        <v>150</v>
      </c>
      <c r="CI2" s="9" t="s">
        <v>150</v>
      </c>
      <c r="CJ2" s="9">
        <v>7</v>
      </c>
      <c r="CK2" s="9" t="s">
        <v>151</v>
      </c>
      <c r="CL2" s="9" t="s">
        <v>152</v>
      </c>
      <c r="CM2" s="9" t="s">
        <v>153</v>
      </c>
      <c r="CN2" s="9" t="s">
        <v>154</v>
      </c>
      <c r="CO2" s="9" t="s">
        <v>150</v>
      </c>
      <c r="CP2" s="9"/>
      <c r="CQ2" s="9"/>
      <c r="CR2" s="9" t="s">
        <v>155</v>
      </c>
      <c r="CS2" s="9" t="s">
        <v>156</v>
      </c>
      <c r="CT2" t="s">
        <v>157</v>
      </c>
      <c r="CU2">
        <v>30.2</v>
      </c>
      <c r="CV2" t="s">
        <v>158</v>
      </c>
    </row>
    <row r="3" spans="1:100" ht="45" hidden="1" customHeight="1" x14ac:dyDescent="0.3">
      <c r="A3" s="9" t="s">
        <v>159</v>
      </c>
      <c r="B3" s="9" t="s">
        <v>126</v>
      </c>
      <c r="C3" s="9" t="s">
        <v>127</v>
      </c>
      <c r="D3" s="10" t="s">
        <v>128</v>
      </c>
      <c r="E3" s="9" t="s">
        <v>129</v>
      </c>
      <c r="F3" s="9" t="s">
        <v>160</v>
      </c>
      <c r="G3" s="10" t="s">
        <v>161</v>
      </c>
      <c r="H3" s="10" t="s">
        <v>162</v>
      </c>
      <c r="I3" s="10" t="s">
        <v>163</v>
      </c>
      <c r="J3" s="10" t="s">
        <v>164</v>
      </c>
      <c r="K3" s="9" t="s">
        <v>165</v>
      </c>
      <c r="L3" s="10" t="s">
        <v>165</v>
      </c>
      <c r="M3" s="26">
        <v>10500</v>
      </c>
      <c r="N3" s="26">
        <v>14500</v>
      </c>
      <c r="O3" s="11">
        <f t="shared" si="0"/>
        <v>0.27586206896551724</v>
      </c>
      <c r="P3" s="12">
        <v>66118</v>
      </c>
      <c r="Q3" s="13" t="s">
        <v>166</v>
      </c>
      <c r="R3" s="12"/>
      <c r="S3" s="13" t="str">
        <f t="shared" si="1"/>
        <v>Robu search</v>
      </c>
      <c r="T3" s="12"/>
      <c r="U3" s="13" t="s">
        <v>167</v>
      </c>
      <c r="V3" s="12"/>
      <c r="W3" s="13" t="str">
        <f t="shared" si="2"/>
        <v>LCSC search</v>
      </c>
      <c r="X3" s="12"/>
      <c r="Y3" s="13" t="str">
        <f t="shared" si="3"/>
        <v>Mouser search</v>
      </c>
      <c r="Z3" s="12"/>
      <c r="AA3" s="13" t="str">
        <f t="shared" si="4"/>
        <v>DigiKey search</v>
      </c>
      <c r="AB3" s="9"/>
      <c r="AC3" s="9">
        <f>Inputs_Assumptions!$B$7</f>
        <v>150</v>
      </c>
      <c r="AD3" s="9">
        <f>Inputs_Assumptions!$B$7</f>
        <v>150</v>
      </c>
      <c r="AE3" s="11">
        <f>Inputs_Assumptions!$B$5</f>
        <v>0.1</v>
      </c>
      <c r="AF3" s="11">
        <f>Inputs_Assumptions!$B$6</f>
        <v>0.18</v>
      </c>
      <c r="AG3" s="14">
        <f>Inputs_Assumptions!$B$4</f>
        <v>83</v>
      </c>
      <c r="AH3" s="12"/>
      <c r="AI3" s="15"/>
      <c r="AJ3" s="16">
        <f t="shared" si="5"/>
        <v>12567</v>
      </c>
      <c r="AK3" s="11">
        <f>Inputs_Assumptions!$B$9</f>
        <v>0.35</v>
      </c>
      <c r="AL3" s="16">
        <f t="shared" si="6"/>
        <v>19333.846153846152</v>
      </c>
      <c r="AM3" s="11">
        <f>Inputs_Assumptions!$B$8</f>
        <v>0.18</v>
      </c>
      <c r="AN3" s="11">
        <f t="shared" si="7"/>
        <v>0.62993072990713572</v>
      </c>
      <c r="AO3" s="17" t="s">
        <v>168</v>
      </c>
      <c r="AP3" s="17"/>
      <c r="AQ3" s="17"/>
      <c r="AR3" s="17"/>
      <c r="AS3" s="17"/>
      <c r="AT3" s="10"/>
      <c r="AU3" s="9"/>
      <c r="AV3" s="10"/>
      <c r="AW3" t="s">
        <v>8</v>
      </c>
      <c r="AX3" t="s">
        <v>140</v>
      </c>
      <c r="BH3" t="s">
        <v>140</v>
      </c>
      <c r="BV3" s="9" t="s">
        <v>169</v>
      </c>
      <c r="BW3" s="9" t="s">
        <v>170</v>
      </c>
      <c r="BX3" s="9" t="s">
        <v>143</v>
      </c>
      <c r="BY3" s="9" t="s">
        <v>171</v>
      </c>
      <c r="BZ3" s="9" t="s">
        <v>145</v>
      </c>
      <c r="CA3" s="9" t="s">
        <v>146</v>
      </c>
      <c r="CB3" s="9" t="s">
        <v>147</v>
      </c>
      <c r="CC3" s="9" t="s">
        <v>148</v>
      </c>
      <c r="CD3" s="9"/>
      <c r="CE3" s="9" t="s">
        <v>149</v>
      </c>
      <c r="CF3" s="9"/>
      <c r="CG3" s="9"/>
      <c r="CH3" s="9" t="s">
        <v>150</v>
      </c>
      <c r="CI3" s="9" t="s">
        <v>150</v>
      </c>
      <c r="CJ3" s="9">
        <v>7</v>
      </c>
      <c r="CK3" s="9" t="s">
        <v>151</v>
      </c>
      <c r="CL3" s="9" t="s">
        <v>152</v>
      </c>
      <c r="CM3" s="9" t="s">
        <v>153</v>
      </c>
      <c r="CN3" s="9" t="s">
        <v>154</v>
      </c>
      <c r="CO3" s="9" t="s">
        <v>150</v>
      </c>
      <c r="CP3" s="9"/>
      <c r="CQ3" s="9"/>
      <c r="CR3" s="9" t="s">
        <v>155</v>
      </c>
      <c r="CS3" s="9" t="s">
        <v>172</v>
      </c>
      <c r="CT3" t="s">
        <v>173</v>
      </c>
      <c r="CU3">
        <v>25</v>
      </c>
      <c r="CV3" t="s">
        <v>174</v>
      </c>
    </row>
    <row r="4" spans="1:100" ht="45" hidden="1" customHeight="1" x14ac:dyDescent="0.3">
      <c r="A4" s="9" t="s">
        <v>175</v>
      </c>
      <c r="B4" s="9" t="s">
        <v>126</v>
      </c>
      <c r="C4" s="9" t="s">
        <v>127</v>
      </c>
      <c r="D4" s="10" t="s">
        <v>176</v>
      </c>
      <c r="E4" s="9" t="s">
        <v>129</v>
      </c>
      <c r="F4" s="9" t="s">
        <v>177</v>
      </c>
      <c r="G4" s="10" t="s">
        <v>178</v>
      </c>
      <c r="H4" s="10" t="s">
        <v>179</v>
      </c>
      <c r="I4" s="10" t="s">
        <v>180</v>
      </c>
      <c r="J4" s="10" t="s">
        <v>164</v>
      </c>
      <c r="K4" s="9" t="s">
        <v>135</v>
      </c>
      <c r="L4" s="10" t="s">
        <v>136</v>
      </c>
      <c r="M4" s="26">
        <v>12500</v>
      </c>
      <c r="N4" s="26">
        <v>15500</v>
      </c>
      <c r="O4" s="11">
        <f t="shared" si="0"/>
        <v>0.19354838709677419</v>
      </c>
      <c r="P4" s="12">
        <v>50750.1</v>
      </c>
      <c r="Q4" s="13" t="s">
        <v>181</v>
      </c>
      <c r="R4" s="12"/>
      <c r="S4" s="13" t="str">
        <f t="shared" si="1"/>
        <v>Robu search</v>
      </c>
      <c r="T4" s="12">
        <v>85.5</v>
      </c>
      <c r="U4" s="13" t="s">
        <v>182</v>
      </c>
      <c r="V4" s="12"/>
      <c r="W4" s="13" t="str">
        <f t="shared" si="2"/>
        <v>LCSC search</v>
      </c>
      <c r="X4" s="12"/>
      <c r="Y4" s="13" t="str">
        <f t="shared" si="3"/>
        <v>Mouser search</v>
      </c>
      <c r="Z4" s="12"/>
      <c r="AA4" s="13" t="str">
        <f t="shared" si="4"/>
        <v>DigiKey search</v>
      </c>
      <c r="AB4" s="9"/>
      <c r="AC4" s="9">
        <f>Inputs_Assumptions!$B$7</f>
        <v>150</v>
      </c>
      <c r="AD4" s="9">
        <f>Inputs_Assumptions!$B$7</f>
        <v>150</v>
      </c>
      <c r="AE4" s="11">
        <f>Inputs_Assumptions!$B$5</f>
        <v>0.1</v>
      </c>
      <c r="AF4" s="11">
        <f>Inputs_Assumptions!$B$6</f>
        <v>0.18</v>
      </c>
      <c r="AG4" s="14">
        <f>Inputs_Assumptions!$B$4</f>
        <v>83</v>
      </c>
      <c r="AH4" s="12"/>
      <c r="AI4" s="15"/>
      <c r="AJ4" s="16">
        <f t="shared" si="5"/>
        <v>14927</v>
      </c>
      <c r="AK4" s="11">
        <f>Inputs_Assumptions!$B$9</f>
        <v>0.35</v>
      </c>
      <c r="AL4" s="16">
        <f t="shared" si="6"/>
        <v>22964.615384615383</v>
      </c>
      <c r="AM4" s="11">
        <f>Inputs_Assumptions!$B$8</f>
        <v>0.18</v>
      </c>
      <c r="AN4" s="11">
        <f t="shared" si="7"/>
        <v>0.52587250074384084</v>
      </c>
      <c r="AO4" s="17" t="s">
        <v>139</v>
      </c>
      <c r="AP4" s="17">
        <v>2</v>
      </c>
      <c r="AQ4" s="17">
        <v>4</v>
      </c>
      <c r="AR4" s="17">
        <v>8</v>
      </c>
      <c r="AS4" s="17">
        <v>1</v>
      </c>
      <c r="AT4" s="10"/>
      <c r="AU4" s="9"/>
      <c r="AV4" s="10"/>
      <c r="AW4" t="s">
        <v>8</v>
      </c>
      <c r="AX4" t="s">
        <v>140</v>
      </c>
      <c r="BH4" t="s">
        <v>140</v>
      </c>
      <c r="BV4" s="9" t="s">
        <v>183</v>
      </c>
      <c r="BW4" s="9" t="s">
        <v>142</v>
      </c>
      <c r="BX4" s="9" t="s">
        <v>143</v>
      </c>
      <c r="BY4" s="9" t="s">
        <v>184</v>
      </c>
      <c r="BZ4" s="9" t="s">
        <v>145</v>
      </c>
      <c r="CA4" s="9" t="s">
        <v>146</v>
      </c>
      <c r="CB4" s="9" t="s">
        <v>147</v>
      </c>
      <c r="CC4" s="9" t="s">
        <v>148</v>
      </c>
      <c r="CD4" s="9"/>
      <c r="CE4" s="9" t="s">
        <v>149</v>
      </c>
      <c r="CF4" s="9"/>
      <c r="CG4" s="9"/>
      <c r="CH4" s="9" t="s">
        <v>150</v>
      </c>
      <c r="CI4" s="9" t="s">
        <v>150</v>
      </c>
      <c r="CJ4" s="9">
        <v>7</v>
      </c>
      <c r="CK4" s="9" t="s">
        <v>151</v>
      </c>
      <c r="CL4" s="9" t="s">
        <v>152</v>
      </c>
      <c r="CM4" s="9" t="s">
        <v>153</v>
      </c>
      <c r="CN4" s="9" t="s">
        <v>154</v>
      </c>
      <c r="CO4" s="9" t="s">
        <v>150</v>
      </c>
      <c r="CP4" s="9"/>
      <c r="CQ4" s="9"/>
      <c r="CR4" s="9" t="s">
        <v>155</v>
      </c>
      <c r="CS4" s="9" t="s">
        <v>185</v>
      </c>
      <c r="CT4" t="s">
        <v>157</v>
      </c>
      <c r="CU4">
        <v>28.2</v>
      </c>
      <c r="CV4" t="s">
        <v>186</v>
      </c>
    </row>
    <row r="5" spans="1:100" ht="45" customHeight="1" x14ac:dyDescent="0.3">
      <c r="A5" s="9" t="s">
        <v>187</v>
      </c>
      <c r="B5" s="9" t="s">
        <v>126</v>
      </c>
      <c r="C5" s="9" t="s">
        <v>127</v>
      </c>
      <c r="D5" s="10" t="s">
        <v>188</v>
      </c>
      <c r="E5" s="9" t="s">
        <v>129</v>
      </c>
      <c r="F5" s="9" t="s">
        <v>189</v>
      </c>
      <c r="G5" s="10" t="s">
        <v>190</v>
      </c>
      <c r="H5" s="10" t="s">
        <v>191</v>
      </c>
      <c r="I5" s="10" t="s">
        <v>192</v>
      </c>
      <c r="J5" s="10" t="s">
        <v>193</v>
      </c>
      <c r="K5" s="9" t="s">
        <v>194</v>
      </c>
      <c r="L5" s="10" t="s">
        <v>194</v>
      </c>
      <c r="M5" s="26">
        <v>4200</v>
      </c>
      <c r="N5" s="26">
        <v>5800</v>
      </c>
      <c r="O5" s="11">
        <f t="shared" si="0"/>
        <v>0.27586206896551724</v>
      </c>
      <c r="P5" s="12">
        <v>4097</v>
      </c>
      <c r="Q5" s="55" t="s">
        <v>195</v>
      </c>
      <c r="R5" s="12"/>
      <c r="S5" s="13" t="str">
        <f t="shared" si="1"/>
        <v>Robu search</v>
      </c>
      <c r="T5" s="12">
        <v>15.06</v>
      </c>
      <c r="U5" s="13" t="s">
        <v>196</v>
      </c>
      <c r="V5" s="12"/>
      <c r="W5" s="13" t="str">
        <f t="shared" si="2"/>
        <v>LCSC search</v>
      </c>
      <c r="X5" s="12"/>
      <c r="Y5" s="13" t="str">
        <f t="shared" si="3"/>
        <v>Mouser search</v>
      </c>
      <c r="Z5" s="12"/>
      <c r="AA5" s="13" t="str">
        <f t="shared" si="4"/>
        <v>DigiKey search</v>
      </c>
      <c r="AB5" s="9"/>
      <c r="AC5" s="9">
        <f>Inputs_Assumptions!$B$7</f>
        <v>150</v>
      </c>
      <c r="AD5" s="9">
        <f>Inputs_Assumptions!$B$7</f>
        <v>150</v>
      </c>
      <c r="AE5" s="11">
        <f>Inputs_Assumptions!$B$5</f>
        <v>0.1</v>
      </c>
      <c r="AF5" s="11">
        <f>Inputs_Assumptions!$B$6</f>
        <v>0.18</v>
      </c>
      <c r="AG5" s="14">
        <f>Inputs_Assumptions!$B$4</f>
        <v>83</v>
      </c>
      <c r="AH5" s="12"/>
      <c r="AI5" s="15"/>
      <c r="AJ5" s="16">
        <f t="shared" si="5"/>
        <v>5133</v>
      </c>
      <c r="AK5" s="11">
        <f>Inputs_Assumptions!$B$9</f>
        <v>0.35</v>
      </c>
      <c r="AL5" s="16">
        <f t="shared" si="6"/>
        <v>7896.9230769230762</v>
      </c>
      <c r="AM5" s="11">
        <f>Inputs_Assumptions!$B$8</f>
        <v>0.18</v>
      </c>
      <c r="AN5" s="11">
        <f t="shared" si="7"/>
        <v>-0.43286795216011714</v>
      </c>
      <c r="AO5" s="17" t="s">
        <v>139</v>
      </c>
      <c r="AP5" s="17"/>
      <c r="AQ5" s="17"/>
      <c r="AR5" s="17"/>
      <c r="AS5" s="17"/>
      <c r="AT5" s="10"/>
      <c r="AU5" s="9"/>
      <c r="AV5" s="10"/>
      <c r="AW5" t="s">
        <v>8</v>
      </c>
      <c r="AX5" t="s">
        <v>140</v>
      </c>
      <c r="BH5" t="s">
        <v>140</v>
      </c>
      <c r="BV5" s="9" t="s">
        <v>169</v>
      </c>
      <c r="BW5" s="9" t="s">
        <v>170</v>
      </c>
      <c r="BX5" s="9" t="s">
        <v>143</v>
      </c>
      <c r="BY5" s="9" t="s">
        <v>197</v>
      </c>
      <c r="BZ5" s="9" t="s">
        <v>145</v>
      </c>
      <c r="CA5" s="9" t="s">
        <v>146</v>
      </c>
      <c r="CB5" s="9" t="s">
        <v>147</v>
      </c>
      <c r="CC5" s="9" t="s">
        <v>148</v>
      </c>
      <c r="CD5" s="9"/>
      <c r="CE5" s="9" t="s">
        <v>149</v>
      </c>
      <c r="CF5" s="9"/>
      <c r="CG5" s="9"/>
      <c r="CH5" s="9" t="s">
        <v>150</v>
      </c>
      <c r="CI5" s="9" t="s">
        <v>150</v>
      </c>
      <c r="CJ5" s="9">
        <v>7</v>
      </c>
      <c r="CK5" s="9" t="s">
        <v>151</v>
      </c>
      <c r="CL5" s="9" t="s">
        <v>152</v>
      </c>
      <c r="CM5" s="9" t="s">
        <v>153</v>
      </c>
      <c r="CN5" s="9" t="s">
        <v>154</v>
      </c>
      <c r="CO5" s="9" t="s">
        <v>150</v>
      </c>
      <c r="CP5" s="9"/>
      <c r="CQ5" s="9"/>
      <c r="CR5" s="9" t="s">
        <v>155</v>
      </c>
      <c r="CS5" s="9" t="s">
        <v>172</v>
      </c>
      <c r="CT5" t="s">
        <v>157</v>
      </c>
      <c r="CU5">
        <v>31.2</v>
      </c>
      <c r="CV5" t="s">
        <v>198</v>
      </c>
    </row>
    <row r="6" spans="1:100" ht="45" customHeight="1" x14ac:dyDescent="0.3">
      <c r="A6" s="9" t="s">
        <v>199</v>
      </c>
      <c r="B6" s="9" t="s">
        <v>126</v>
      </c>
      <c r="C6" s="9" t="s">
        <v>127</v>
      </c>
      <c r="D6" s="10" t="s">
        <v>200</v>
      </c>
      <c r="E6" s="9" t="s">
        <v>201</v>
      </c>
      <c r="F6" s="9" t="s">
        <v>202</v>
      </c>
      <c r="G6" s="10" t="s">
        <v>203</v>
      </c>
      <c r="H6" s="10" t="s">
        <v>204</v>
      </c>
      <c r="I6" s="10" t="s">
        <v>205</v>
      </c>
      <c r="J6" s="10" t="s">
        <v>206</v>
      </c>
      <c r="K6" s="9" t="s">
        <v>135</v>
      </c>
      <c r="L6" s="10" t="s">
        <v>165</v>
      </c>
      <c r="M6" s="26">
        <v>2200</v>
      </c>
      <c r="N6" s="26">
        <v>3500</v>
      </c>
      <c r="O6" s="11">
        <f t="shared" si="0"/>
        <v>0.37142857142857144</v>
      </c>
      <c r="P6" s="12"/>
      <c r="Q6" s="55" t="s">
        <v>207</v>
      </c>
      <c r="R6" s="12"/>
      <c r="S6" s="13" t="str">
        <f t="shared" si="1"/>
        <v>Robu search</v>
      </c>
      <c r="T6" s="12"/>
      <c r="U6" s="13" t="s">
        <v>208</v>
      </c>
      <c r="V6" s="12"/>
      <c r="W6" s="13" t="str">
        <f t="shared" si="2"/>
        <v>LCSC search</v>
      </c>
      <c r="X6" s="12"/>
      <c r="Y6" s="13" t="str">
        <f t="shared" si="3"/>
        <v>Mouser search</v>
      </c>
      <c r="Z6" s="12"/>
      <c r="AA6" s="13" t="str">
        <f t="shared" si="4"/>
        <v>DigiKey search</v>
      </c>
      <c r="AB6" s="9"/>
      <c r="AC6" s="9">
        <f>Inputs_Assumptions!$B$7</f>
        <v>150</v>
      </c>
      <c r="AD6" s="9">
        <f>Inputs_Assumptions!$B$7</f>
        <v>150</v>
      </c>
      <c r="AE6" s="11">
        <f>Inputs_Assumptions!$B$5</f>
        <v>0.1</v>
      </c>
      <c r="AF6" s="11">
        <f>Inputs_Assumptions!$B$6</f>
        <v>0.18</v>
      </c>
      <c r="AG6" s="14">
        <f>Inputs_Assumptions!$B$4</f>
        <v>83</v>
      </c>
      <c r="AH6" s="12"/>
      <c r="AI6" s="15"/>
      <c r="AJ6" s="16">
        <f t="shared" si="5"/>
        <v>2773</v>
      </c>
      <c r="AK6" s="11">
        <f>Inputs_Assumptions!$B$9</f>
        <v>0.35</v>
      </c>
      <c r="AL6" s="16">
        <f t="shared" si="6"/>
        <v>4266.1538461538457</v>
      </c>
      <c r="AM6" s="11">
        <f>Inputs_Assumptions!$B$8</f>
        <v>0.18</v>
      </c>
      <c r="AN6" s="11" t="str">
        <f t="shared" si="7"/>
        <v/>
      </c>
      <c r="AO6" s="17" t="s">
        <v>139</v>
      </c>
      <c r="AP6" s="17">
        <v>6</v>
      </c>
      <c r="AQ6" s="17">
        <v>6</v>
      </c>
      <c r="AR6" s="17">
        <v>12</v>
      </c>
      <c r="AS6" s="17">
        <v>2</v>
      </c>
      <c r="AT6" s="10"/>
      <c r="AU6" s="9"/>
      <c r="AV6" s="10"/>
      <c r="AW6" t="s">
        <v>8</v>
      </c>
      <c r="AX6" t="s">
        <v>140</v>
      </c>
      <c r="BH6" t="s">
        <v>140</v>
      </c>
      <c r="BV6" s="9" t="s">
        <v>209</v>
      </c>
      <c r="BW6" s="9" t="s">
        <v>210</v>
      </c>
      <c r="BX6" s="9" t="s">
        <v>143</v>
      </c>
      <c r="BY6" s="9" t="s">
        <v>211</v>
      </c>
      <c r="BZ6" s="9" t="s">
        <v>145</v>
      </c>
      <c r="CA6" s="9" t="s">
        <v>146</v>
      </c>
      <c r="CB6" s="9" t="s">
        <v>147</v>
      </c>
      <c r="CC6" s="9" t="s">
        <v>148</v>
      </c>
      <c r="CD6" s="9"/>
      <c r="CE6" s="9" t="s">
        <v>149</v>
      </c>
      <c r="CF6" s="9"/>
      <c r="CG6" s="9"/>
      <c r="CH6" s="9" t="s">
        <v>150</v>
      </c>
      <c r="CI6" s="9" t="s">
        <v>150</v>
      </c>
      <c r="CJ6" s="9">
        <v>7</v>
      </c>
      <c r="CK6" s="9" t="s">
        <v>151</v>
      </c>
      <c r="CL6" s="9" t="s">
        <v>152</v>
      </c>
      <c r="CM6" s="9" t="s">
        <v>153</v>
      </c>
      <c r="CN6" s="9" t="s">
        <v>154</v>
      </c>
      <c r="CO6" s="9" t="s">
        <v>150</v>
      </c>
      <c r="CP6" s="9"/>
      <c r="CQ6" s="9"/>
      <c r="CR6" s="9" t="s">
        <v>155</v>
      </c>
      <c r="CS6" s="9" t="s">
        <v>212</v>
      </c>
      <c r="CT6" t="s">
        <v>157</v>
      </c>
      <c r="CU6">
        <v>35.200000000000003</v>
      </c>
      <c r="CV6" t="s">
        <v>213</v>
      </c>
    </row>
    <row r="7" spans="1:100" ht="45" hidden="1" customHeight="1" x14ac:dyDescent="0.3">
      <c r="A7" s="9" t="s">
        <v>214</v>
      </c>
      <c r="B7" s="9" t="s">
        <v>126</v>
      </c>
      <c r="C7" s="9" t="s">
        <v>127</v>
      </c>
      <c r="D7" s="10" t="s">
        <v>215</v>
      </c>
      <c r="E7" s="9" t="s">
        <v>201</v>
      </c>
      <c r="F7" s="9" t="s">
        <v>216</v>
      </c>
      <c r="G7" s="10" t="s">
        <v>217</v>
      </c>
      <c r="H7" s="10" t="s">
        <v>218</v>
      </c>
      <c r="I7" s="10" t="s">
        <v>219</v>
      </c>
      <c r="J7" s="10" t="s">
        <v>164</v>
      </c>
      <c r="K7" s="9" t="s">
        <v>165</v>
      </c>
      <c r="L7" s="10" t="s">
        <v>165</v>
      </c>
      <c r="M7" s="26">
        <v>5800</v>
      </c>
      <c r="N7" s="26">
        <v>8000</v>
      </c>
      <c r="O7" s="11">
        <f t="shared" si="0"/>
        <v>0.27500000000000002</v>
      </c>
      <c r="P7" s="12">
        <v>10156.4</v>
      </c>
      <c r="Q7" s="13" t="s">
        <v>220</v>
      </c>
      <c r="R7" s="12"/>
      <c r="S7" s="13" t="str">
        <f t="shared" si="1"/>
        <v>Robu search</v>
      </c>
      <c r="T7" s="12">
        <v>21.28</v>
      </c>
      <c r="U7" s="13" t="s">
        <v>221</v>
      </c>
      <c r="V7" s="12"/>
      <c r="W7" s="13" t="str">
        <f t="shared" si="2"/>
        <v>LCSC search</v>
      </c>
      <c r="X7" s="12"/>
      <c r="Y7" s="13" t="str">
        <f t="shared" si="3"/>
        <v>Mouser search</v>
      </c>
      <c r="Z7" s="12"/>
      <c r="AA7" s="13" t="str">
        <f t="shared" si="4"/>
        <v>DigiKey search</v>
      </c>
      <c r="AB7" s="9"/>
      <c r="AC7" s="9">
        <f>Inputs_Assumptions!$B$7</f>
        <v>150</v>
      </c>
      <c r="AD7" s="9">
        <f>Inputs_Assumptions!$B$7</f>
        <v>150</v>
      </c>
      <c r="AE7" s="11">
        <f>Inputs_Assumptions!$B$5</f>
        <v>0.1</v>
      </c>
      <c r="AF7" s="11">
        <f>Inputs_Assumptions!$B$6</f>
        <v>0.18</v>
      </c>
      <c r="AG7" s="14">
        <f>Inputs_Assumptions!$B$4</f>
        <v>83</v>
      </c>
      <c r="AH7" s="12"/>
      <c r="AI7" s="15"/>
      <c r="AJ7" s="16">
        <f t="shared" si="5"/>
        <v>7021</v>
      </c>
      <c r="AK7" s="11">
        <f>Inputs_Assumptions!$B$9</f>
        <v>0.35</v>
      </c>
      <c r="AL7" s="16">
        <f t="shared" si="6"/>
        <v>10801.538461538461</v>
      </c>
      <c r="AM7" s="11">
        <f>Inputs_Assumptions!$B$8</f>
        <v>0.18</v>
      </c>
      <c r="AN7" s="11">
        <f t="shared" si="7"/>
        <v>0.12871174825725651</v>
      </c>
      <c r="AO7" s="17" t="s">
        <v>139</v>
      </c>
      <c r="AP7" s="17">
        <v>3</v>
      </c>
      <c r="AQ7" s="17">
        <v>6</v>
      </c>
      <c r="AR7" s="17">
        <v>12</v>
      </c>
      <c r="AS7" s="17">
        <v>2</v>
      </c>
      <c r="AT7" s="10"/>
      <c r="AU7" s="9"/>
      <c r="AV7" s="10"/>
      <c r="AW7" t="s">
        <v>8</v>
      </c>
      <c r="AX7" t="s">
        <v>140</v>
      </c>
      <c r="BH7" t="s">
        <v>140</v>
      </c>
      <c r="BV7" s="9" t="s">
        <v>169</v>
      </c>
      <c r="BW7" s="9" t="s">
        <v>170</v>
      </c>
      <c r="BX7" s="9" t="s">
        <v>143</v>
      </c>
      <c r="BY7" s="9" t="s">
        <v>222</v>
      </c>
      <c r="BZ7" s="9" t="s">
        <v>145</v>
      </c>
      <c r="CA7" s="9" t="s">
        <v>146</v>
      </c>
      <c r="CB7" s="9" t="s">
        <v>147</v>
      </c>
      <c r="CC7" s="9" t="s">
        <v>148</v>
      </c>
      <c r="CD7" s="9"/>
      <c r="CE7" s="9" t="s">
        <v>149</v>
      </c>
      <c r="CF7" s="9"/>
      <c r="CG7" s="9"/>
      <c r="CH7" s="9" t="s">
        <v>150</v>
      </c>
      <c r="CI7" s="9" t="s">
        <v>150</v>
      </c>
      <c r="CJ7" s="9">
        <v>7</v>
      </c>
      <c r="CK7" s="9" t="s">
        <v>151</v>
      </c>
      <c r="CL7" s="9" t="s">
        <v>152</v>
      </c>
      <c r="CM7" s="9" t="s">
        <v>153</v>
      </c>
      <c r="CN7" s="9" t="s">
        <v>154</v>
      </c>
      <c r="CO7" s="9" t="s">
        <v>150</v>
      </c>
      <c r="CP7" s="9"/>
      <c r="CQ7" s="9"/>
      <c r="CR7" s="9" t="s">
        <v>155</v>
      </c>
      <c r="CS7" s="9" t="s">
        <v>172</v>
      </c>
      <c r="CT7" t="s">
        <v>157</v>
      </c>
      <c r="CU7">
        <v>29</v>
      </c>
      <c r="CV7" t="s">
        <v>223</v>
      </c>
    </row>
    <row r="8" spans="1:100" ht="45" hidden="1" customHeight="1" x14ac:dyDescent="0.3">
      <c r="A8" s="9" t="s">
        <v>224</v>
      </c>
      <c r="B8" s="9" t="s">
        <v>126</v>
      </c>
      <c r="C8" s="9" t="s">
        <v>127</v>
      </c>
      <c r="D8" s="10" t="s">
        <v>215</v>
      </c>
      <c r="E8" s="9" t="s">
        <v>201</v>
      </c>
      <c r="F8" s="9" t="s">
        <v>225</v>
      </c>
      <c r="G8" s="10" t="s">
        <v>226</v>
      </c>
      <c r="H8" s="10" t="s">
        <v>227</v>
      </c>
      <c r="I8" s="10" t="s">
        <v>228</v>
      </c>
      <c r="J8" s="10" t="s">
        <v>164</v>
      </c>
      <c r="K8" s="9" t="s">
        <v>165</v>
      </c>
      <c r="L8" s="10" t="s">
        <v>165</v>
      </c>
      <c r="M8" s="26">
        <v>7500</v>
      </c>
      <c r="N8" s="26">
        <v>10200</v>
      </c>
      <c r="O8" s="11">
        <f t="shared" si="0"/>
        <v>0.26470588235294118</v>
      </c>
      <c r="P8" s="12"/>
      <c r="Q8" s="13" t="s">
        <v>229</v>
      </c>
      <c r="R8" s="12"/>
      <c r="S8" s="13" t="str">
        <f t="shared" si="1"/>
        <v>Robu search</v>
      </c>
      <c r="T8" s="12"/>
      <c r="U8" s="13" t="s">
        <v>230</v>
      </c>
      <c r="V8" s="12"/>
      <c r="W8" s="13" t="str">
        <f t="shared" si="2"/>
        <v>LCSC search</v>
      </c>
      <c r="X8" s="12"/>
      <c r="Y8" s="13" t="str">
        <f t="shared" si="3"/>
        <v>Mouser search</v>
      </c>
      <c r="Z8" s="12"/>
      <c r="AA8" s="13" t="str">
        <f t="shared" si="4"/>
        <v>DigiKey search</v>
      </c>
      <c r="AB8" s="9"/>
      <c r="AC8" s="9">
        <f>Inputs_Assumptions!$B$7</f>
        <v>150</v>
      </c>
      <c r="AD8" s="9">
        <f>Inputs_Assumptions!$B$7</f>
        <v>150</v>
      </c>
      <c r="AE8" s="11">
        <f>Inputs_Assumptions!$B$5</f>
        <v>0.1</v>
      </c>
      <c r="AF8" s="11">
        <f>Inputs_Assumptions!$B$6</f>
        <v>0.18</v>
      </c>
      <c r="AG8" s="14">
        <f>Inputs_Assumptions!$B$4</f>
        <v>83</v>
      </c>
      <c r="AH8" s="12"/>
      <c r="AI8" s="15"/>
      <c r="AJ8" s="16">
        <f t="shared" si="5"/>
        <v>9027</v>
      </c>
      <c r="AK8" s="11">
        <f>Inputs_Assumptions!$B$9</f>
        <v>0.35</v>
      </c>
      <c r="AL8" s="16">
        <f t="shared" si="6"/>
        <v>13887.692307692307</v>
      </c>
      <c r="AM8" s="11">
        <f>Inputs_Assumptions!$B$8</f>
        <v>0.18</v>
      </c>
      <c r="AN8" s="11" t="str">
        <f t="shared" si="7"/>
        <v/>
      </c>
      <c r="AO8" s="17" t="s">
        <v>168</v>
      </c>
      <c r="AP8" s="17"/>
      <c r="AQ8" s="17"/>
      <c r="AR8" s="17">
        <v>6</v>
      </c>
      <c r="AS8" s="17"/>
      <c r="AT8" s="10"/>
      <c r="AU8" s="9"/>
      <c r="AV8" s="10"/>
      <c r="AW8" t="s">
        <v>8</v>
      </c>
      <c r="AX8" t="s">
        <v>140</v>
      </c>
      <c r="BH8" t="s">
        <v>140</v>
      </c>
      <c r="BV8" s="9" t="s">
        <v>231</v>
      </c>
      <c r="BW8" s="9" t="s">
        <v>170</v>
      </c>
      <c r="BX8" s="9" t="s">
        <v>143</v>
      </c>
      <c r="BY8" s="9" t="s">
        <v>232</v>
      </c>
      <c r="BZ8" s="9" t="s">
        <v>145</v>
      </c>
      <c r="CA8" s="9" t="s">
        <v>146</v>
      </c>
      <c r="CB8" s="9" t="s">
        <v>147</v>
      </c>
      <c r="CC8" s="9" t="s">
        <v>148</v>
      </c>
      <c r="CD8" s="9"/>
      <c r="CE8" s="9" t="s">
        <v>149</v>
      </c>
      <c r="CF8" s="9"/>
      <c r="CG8" s="9"/>
      <c r="CH8" s="9" t="s">
        <v>150</v>
      </c>
      <c r="CI8" s="9" t="s">
        <v>150</v>
      </c>
      <c r="CJ8" s="9">
        <v>7</v>
      </c>
      <c r="CK8" s="9" t="s">
        <v>151</v>
      </c>
      <c r="CL8" s="9" t="s">
        <v>152</v>
      </c>
      <c r="CM8" s="9" t="s">
        <v>153</v>
      </c>
      <c r="CN8" s="9" t="s">
        <v>154</v>
      </c>
      <c r="CO8" s="9" t="s">
        <v>150</v>
      </c>
      <c r="CP8" s="9"/>
      <c r="CQ8" s="9"/>
      <c r="CR8" s="9" t="s">
        <v>155</v>
      </c>
      <c r="CS8" s="9" t="s">
        <v>233</v>
      </c>
      <c r="CT8" t="s">
        <v>173</v>
      </c>
      <c r="CU8">
        <v>25</v>
      </c>
      <c r="CV8" t="s">
        <v>234</v>
      </c>
    </row>
    <row r="9" spans="1:100" ht="45" hidden="1" customHeight="1" x14ac:dyDescent="0.3">
      <c r="A9" s="9" t="s">
        <v>235</v>
      </c>
      <c r="B9" s="9" t="s">
        <v>126</v>
      </c>
      <c r="C9" s="9" t="s">
        <v>127</v>
      </c>
      <c r="D9" s="10" t="s">
        <v>215</v>
      </c>
      <c r="E9" s="9" t="s">
        <v>201</v>
      </c>
      <c r="F9" s="9" t="s">
        <v>236</v>
      </c>
      <c r="G9" s="10" t="s">
        <v>237</v>
      </c>
      <c r="H9" s="10" t="s">
        <v>238</v>
      </c>
      <c r="I9" s="10" t="s">
        <v>239</v>
      </c>
      <c r="J9" s="10" t="s">
        <v>240</v>
      </c>
      <c r="K9" s="9" t="s">
        <v>165</v>
      </c>
      <c r="L9" s="10" t="s">
        <v>165</v>
      </c>
      <c r="M9" s="26">
        <v>9800</v>
      </c>
      <c r="N9" s="26">
        <v>13500</v>
      </c>
      <c r="O9" s="11">
        <f t="shared" si="0"/>
        <v>0.27407407407407408</v>
      </c>
      <c r="P9" s="12"/>
      <c r="Q9" s="13" t="s">
        <v>241</v>
      </c>
      <c r="R9" s="12"/>
      <c r="S9" s="13" t="str">
        <f t="shared" si="1"/>
        <v>Robu search</v>
      </c>
      <c r="T9" s="12"/>
      <c r="U9" s="13" t="s">
        <v>242</v>
      </c>
      <c r="V9" s="12"/>
      <c r="W9" s="13" t="str">
        <f t="shared" si="2"/>
        <v>LCSC search</v>
      </c>
      <c r="X9" s="12"/>
      <c r="Y9" s="13" t="str">
        <f t="shared" si="3"/>
        <v>Mouser search</v>
      </c>
      <c r="Z9" s="12"/>
      <c r="AA9" s="13" t="str">
        <f t="shared" si="4"/>
        <v>DigiKey search</v>
      </c>
      <c r="AB9" s="9"/>
      <c r="AC9" s="9">
        <f>Inputs_Assumptions!$B$7</f>
        <v>150</v>
      </c>
      <c r="AD9" s="9">
        <f>Inputs_Assumptions!$B$7</f>
        <v>150</v>
      </c>
      <c r="AE9" s="11">
        <f>Inputs_Assumptions!$B$5</f>
        <v>0.1</v>
      </c>
      <c r="AF9" s="11">
        <f>Inputs_Assumptions!$B$6</f>
        <v>0.18</v>
      </c>
      <c r="AG9" s="14">
        <f>Inputs_Assumptions!$B$4</f>
        <v>83</v>
      </c>
      <c r="AH9" s="12"/>
      <c r="AI9" s="15"/>
      <c r="AJ9" s="16">
        <f t="shared" si="5"/>
        <v>11741</v>
      </c>
      <c r="AK9" s="11">
        <f>Inputs_Assumptions!$B$9</f>
        <v>0.35</v>
      </c>
      <c r="AL9" s="16">
        <f t="shared" si="6"/>
        <v>18063.076923076922</v>
      </c>
      <c r="AM9" s="11">
        <f>Inputs_Assumptions!$B$8</f>
        <v>0.18</v>
      </c>
      <c r="AN9" s="11" t="str">
        <f t="shared" si="7"/>
        <v/>
      </c>
      <c r="AO9" s="17" t="s">
        <v>168</v>
      </c>
      <c r="AP9" s="17"/>
      <c r="AQ9" s="17"/>
      <c r="AR9" s="17"/>
      <c r="AS9" s="17"/>
      <c r="AT9" s="10"/>
      <c r="AU9" s="9"/>
      <c r="AV9" s="10"/>
      <c r="AW9" t="s">
        <v>8</v>
      </c>
      <c r="AX9" t="s">
        <v>140</v>
      </c>
      <c r="BH9" t="s">
        <v>140</v>
      </c>
      <c r="BV9" s="9" t="s">
        <v>169</v>
      </c>
      <c r="BW9" s="9" t="s">
        <v>170</v>
      </c>
      <c r="BX9" s="9" t="s">
        <v>143</v>
      </c>
      <c r="BY9" s="9" t="s">
        <v>243</v>
      </c>
      <c r="BZ9" s="9" t="s">
        <v>145</v>
      </c>
      <c r="CA9" s="9" t="s">
        <v>146</v>
      </c>
      <c r="CB9" s="9" t="s">
        <v>147</v>
      </c>
      <c r="CC9" s="9" t="s">
        <v>148</v>
      </c>
      <c r="CD9" s="9"/>
      <c r="CE9" s="9" t="s">
        <v>149</v>
      </c>
      <c r="CF9" s="9"/>
      <c r="CG9" s="9"/>
      <c r="CH9" s="9" t="s">
        <v>150</v>
      </c>
      <c r="CI9" s="9" t="s">
        <v>150</v>
      </c>
      <c r="CJ9" s="9">
        <v>7</v>
      </c>
      <c r="CK9" s="9" t="s">
        <v>151</v>
      </c>
      <c r="CL9" s="9" t="s">
        <v>152</v>
      </c>
      <c r="CM9" s="9" t="s">
        <v>153</v>
      </c>
      <c r="CN9" s="9" t="s">
        <v>154</v>
      </c>
      <c r="CO9" s="9" t="s">
        <v>150</v>
      </c>
      <c r="CP9" s="9"/>
      <c r="CQ9" s="9"/>
      <c r="CR9" s="9" t="s">
        <v>155</v>
      </c>
      <c r="CS9" s="9" t="s">
        <v>172</v>
      </c>
      <c r="CT9" t="s">
        <v>173</v>
      </c>
      <c r="CU9">
        <v>25</v>
      </c>
      <c r="CV9" t="s">
        <v>244</v>
      </c>
    </row>
    <row r="10" spans="1:100" ht="45" customHeight="1" x14ac:dyDescent="0.3">
      <c r="A10" s="9" t="s">
        <v>245</v>
      </c>
      <c r="B10" s="9" t="s">
        <v>126</v>
      </c>
      <c r="C10" s="9" t="s">
        <v>127</v>
      </c>
      <c r="D10" s="10" t="s">
        <v>246</v>
      </c>
      <c r="E10" s="9" t="s">
        <v>247</v>
      </c>
      <c r="F10" s="9" t="s">
        <v>248</v>
      </c>
      <c r="G10" s="10" t="s">
        <v>249</v>
      </c>
      <c r="H10" s="10" t="s">
        <v>250</v>
      </c>
      <c r="I10" s="10" t="s">
        <v>251</v>
      </c>
      <c r="J10" s="10" t="s">
        <v>252</v>
      </c>
      <c r="K10" s="9" t="s">
        <v>135</v>
      </c>
      <c r="L10" s="10" t="s">
        <v>165</v>
      </c>
      <c r="M10" s="26">
        <v>6500</v>
      </c>
      <c r="N10" s="26">
        <v>8800</v>
      </c>
      <c r="O10" s="11">
        <f t="shared" si="0"/>
        <v>0.26136363636363635</v>
      </c>
      <c r="P10" s="12">
        <v>16098</v>
      </c>
      <c r="Q10" s="55" t="s">
        <v>253</v>
      </c>
      <c r="R10" s="12"/>
      <c r="S10" s="13" t="str">
        <f t="shared" si="1"/>
        <v>Robu search</v>
      </c>
      <c r="T10" s="12">
        <v>81.5</v>
      </c>
      <c r="U10" s="13" t="s">
        <v>254</v>
      </c>
      <c r="V10" s="12"/>
      <c r="W10" s="13" t="str">
        <f t="shared" si="2"/>
        <v>LCSC search</v>
      </c>
      <c r="X10" s="12"/>
      <c r="Y10" s="13" t="str">
        <f t="shared" si="3"/>
        <v>Mouser search</v>
      </c>
      <c r="Z10" s="12"/>
      <c r="AA10" s="13" t="str">
        <f t="shared" si="4"/>
        <v>DigiKey search</v>
      </c>
      <c r="AB10" s="9"/>
      <c r="AC10" s="9">
        <f>Inputs_Assumptions!$B$7</f>
        <v>150</v>
      </c>
      <c r="AD10" s="9">
        <f>Inputs_Assumptions!$B$7</f>
        <v>150</v>
      </c>
      <c r="AE10" s="11">
        <f>Inputs_Assumptions!$B$5</f>
        <v>0.1</v>
      </c>
      <c r="AF10" s="11">
        <f>Inputs_Assumptions!$B$6</f>
        <v>0.18</v>
      </c>
      <c r="AG10" s="14">
        <f>Inputs_Assumptions!$B$4</f>
        <v>83</v>
      </c>
      <c r="AH10" s="12"/>
      <c r="AI10" s="15"/>
      <c r="AJ10" s="16">
        <f t="shared" si="5"/>
        <v>7847</v>
      </c>
      <c r="AK10" s="11">
        <f>Inputs_Assumptions!$B$9</f>
        <v>0.35</v>
      </c>
      <c r="AL10" s="16">
        <f t="shared" si="6"/>
        <v>12072.307692307691</v>
      </c>
      <c r="AM10" s="11">
        <f>Inputs_Assumptions!$B$8</f>
        <v>0.18</v>
      </c>
      <c r="AN10" s="11">
        <f t="shared" si="7"/>
        <v>0.33254814262641325</v>
      </c>
      <c r="AO10" s="17" t="s">
        <v>139</v>
      </c>
      <c r="AP10" s="17"/>
      <c r="AQ10" s="17"/>
      <c r="AR10" s="17"/>
      <c r="AS10" s="17"/>
      <c r="AT10" s="10"/>
      <c r="AU10" s="9"/>
      <c r="AV10" s="10"/>
      <c r="AW10" t="s">
        <v>8</v>
      </c>
      <c r="AX10" t="s">
        <v>140</v>
      </c>
      <c r="BH10" t="s">
        <v>140</v>
      </c>
      <c r="BV10" s="9" t="s">
        <v>255</v>
      </c>
      <c r="BW10" s="9" t="s">
        <v>170</v>
      </c>
      <c r="BX10" s="9" t="s">
        <v>143</v>
      </c>
      <c r="BY10" s="9" t="s">
        <v>256</v>
      </c>
      <c r="BZ10" s="9" t="s">
        <v>145</v>
      </c>
      <c r="CA10" s="9" t="s">
        <v>146</v>
      </c>
      <c r="CB10" s="9" t="s">
        <v>147</v>
      </c>
      <c r="CC10" s="9" t="s">
        <v>148</v>
      </c>
      <c r="CD10" s="9"/>
      <c r="CE10" s="9" t="s">
        <v>149</v>
      </c>
      <c r="CF10" s="9"/>
      <c r="CG10" s="9"/>
      <c r="CH10" s="9" t="s">
        <v>150</v>
      </c>
      <c r="CI10" s="9" t="s">
        <v>150</v>
      </c>
      <c r="CJ10" s="9">
        <v>7</v>
      </c>
      <c r="CK10" s="9" t="s">
        <v>151</v>
      </c>
      <c r="CL10" s="9" t="s">
        <v>152</v>
      </c>
      <c r="CM10" s="9" t="s">
        <v>153</v>
      </c>
      <c r="CN10" s="9" t="s">
        <v>154</v>
      </c>
      <c r="CO10" s="9" t="s">
        <v>150</v>
      </c>
      <c r="CP10" s="9"/>
      <c r="CQ10" s="9"/>
      <c r="CR10" s="9" t="s">
        <v>155</v>
      </c>
      <c r="CS10" s="9" t="s">
        <v>257</v>
      </c>
      <c r="CT10" t="s">
        <v>157</v>
      </c>
      <c r="CU10">
        <v>31.2</v>
      </c>
      <c r="CV10" t="s">
        <v>258</v>
      </c>
    </row>
    <row r="11" spans="1:100" ht="45" hidden="1" customHeight="1" x14ac:dyDescent="0.3">
      <c r="A11" s="9" t="s">
        <v>259</v>
      </c>
      <c r="B11" s="9" t="s">
        <v>126</v>
      </c>
      <c r="C11" s="9" t="s">
        <v>127</v>
      </c>
      <c r="D11" s="10" t="s">
        <v>260</v>
      </c>
      <c r="E11" s="9" t="s">
        <v>247</v>
      </c>
      <c r="F11" s="9" t="s">
        <v>261</v>
      </c>
      <c r="G11" s="10" t="s">
        <v>262</v>
      </c>
      <c r="H11" s="10" t="s">
        <v>263</v>
      </c>
      <c r="I11" s="10" t="s">
        <v>264</v>
      </c>
      <c r="J11" s="10" t="s">
        <v>265</v>
      </c>
      <c r="K11" s="9" t="s">
        <v>165</v>
      </c>
      <c r="L11" s="10" t="s">
        <v>165</v>
      </c>
      <c r="M11" s="26">
        <v>16500</v>
      </c>
      <c r="N11" s="26">
        <v>21000</v>
      </c>
      <c r="O11" s="11">
        <f t="shared" si="0"/>
        <v>0.21428571428571427</v>
      </c>
      <c r="P11" s="12"/>
      <c r="Q11" s="13" t="s">
        <v>266</v>
      </c>
      <c r="R11" s="12"/>
      <c r="S11" s="13" t="str">
        <f t="shared" si="1"/>
        <v>Robu search</v>
      </c>
      <c r="T11" s="12"/>
      <c r="U11" s="13" t="s">
        <v>267</v>
      </c>
      <c r="V11" s="12"/>
      <c r="W11" s="13" t="str">
        <f t="shared" si="2"/>
        <v>LCSC search</v>
      </c>
      <c r="X11" s="12"/>
      <c r="Y11" s="13" t="str">
        <f t="shared" si="3"/>
        <v>Mouser search</v>
      </c>
      <c r="Z11" s="12"/>
      <c r="AA11" s="13" t="str">
        <f t="shared" si="4"/>
        <v>DigiKey search</v>
      </c>
      <c r="AB11" s="9"/>
      <c r="AC11" s="9">
        <f>Inputs_Assumptions!$B$7</f>
        <v>150</v>
      </c>
      <c r="AD11" s="9">
        <f>Inputs_Assumptions!$B$7</f>
        <v>150</v>
      </c>
      <c r="AE11" s="11">
        <f>Inputs_Assumptions!$B$5</f>
        <v>0.1</v>
      </c>
      <c r="AF11" s="11">
        <f>Inputs_Assumptions!$B$6</f>
        <v>0.18</v>
      </c>
      <c r="AG11" s="14">
        <f>Inputs_Assumptions!$B$4</f>
        <v>83</v>
      </c>
      <c r="AH11" s="12"/>
      <c r="AI11" s="15"/>
      <c r="AJ11" s="16">
        <f t="shared" si="5"/>
        <v>19647</v>
      </c>
      <c r="AK11" s="11">
        <f>Inputs_Assumptions!$B$9</f>
        <v>0.35</v>
      </c>
      <c r="AL11" s="16">
        <f t="shared" si="6"/>
        <v>30226.153846153844</v>
      </c>
      <c r="AM11" s="11">
        <f>Inputs_Assumptions!$B$8</f>
        <v>0.18</v>
      </c>
      <c r="AN11" s="11" t="str">
        <f t="shared" si="7"/>
        <v/>
      </c>
      <c r="AO11" s="17" t="s">
        <v>268</v>
      </c>
      <c r="AP11" s="17"/>
      <c r="AQ11" s="17"/>
      <c r="AR11" s="17"/>
      <c r="AS11" s="17"/>
      <c r="AT11" s="10"/>
      <c r="AU11" s="9"/>
      <c r="AV11" s="10"/>
      <c r="AW11" t="s">
        <v>8</v>
      </c>
      <c r="AX11" t="s">
        <v>140</v>
      </c>
      <c r="BH11" t="s">
        <v>140</v>
      </c>
      <c r="BV11" s="9" t="s">
        <v>269</v>
      </c>
      <c r="BW11" s="9" t="s">
        <v>142</v>
      </c>
      <c r="BX11" s="9" t="s">
        <v>143</v>
      </c>
      <c r="BY11" s="9" t="s">
        <v>270</v>
      </c>
      <c r="BZ11" s="9" t="s">
        <v>145</v>
      </c>
      <c r="CA11" s="9" t="s">
        <v>146</v>
      </c>
      <c r="CB11" s="9" t="s">
        <v>147</v>
      </c>
      <c r="CC11" s="9" t="s">
        <v>148</v>
      </c>
      <c r="CD11" s="9"/>
      <c r="CE11" s="9" t="s">
        <v>149</v>
      </c>
      <c r="CF11" s="9"/>
      <c r="CG11" s="9"/>
      <c r="CH11" s="9" t="s">
        <v>150</v>
      </c>
      <c r="CI11" s="9" t="s">
        <v>150</v>
      </c>
      <c r="CJ11" s="9">
        <v>7</v>
      </c>
      <c r="CK11" s="9" t="s">
        <v>151</v>
      </c>
      <c r="CL11" s="9" t="s">
        <v>152</v>
      </c>
      <c r="CM11" s="9" t="s">
        <v>153</v>
      </c>
      <c r="CN11" s="9" t="s">
        <v>154</v>
      </c>
      <c r="CO11" s="9" t="s">
        <v>150</v>
      </c>
      <c r="CP11" s="9"/>
      <c r="CQ11" s="9"/>
      <c r="CR11" s="9" t="s">
        <v>155</v>
      </c>
      <c r="CS11" s="9" t="s">
        <v>271</v>
      </c>
      <c r="CT11" t="s">
        <v>272</v>
      </c>
      <c r="CU11">
        <v>20</v>
      </c>
      <c r="CV11" t="s">
        <v>273</v>
      </c>
    </row>
    <row r="12" spans="1:100" ht="45" hidden="1" customHeight="1" x14ac:dyDescent="0.3">
      <c r="A12" s="9" t="s">
        <v>274</v>
      </c>
      <c r="B12" s="9" t="s">
        <v>126</v>
      </c>
      <c r="C12" s="9" t="s">
        <v>127</v>
      </c>
      <c r="D12" s="10" t="s">
        <v>275</v>
      </c>
      <c r="E12" s="9" t="s">
        <v>247</v>
      </c>
      <c r="F12" s="9" t="s">
        <v>276</v>
      </c>
      <c r="G12" s="10" t="s">
        <v>277</v>
      </c>
      <c r="H12" s="10" t="s">
        <v>278</v>
      </c>
      <c r="I12" s="10" t="s">
        <v>279</v>
      </c>
      <c r="J12" s="10" t="s">
        <v>280</v>
      </c>
      <c r="K12" s="9" t="s">
        <v>165</v>
      </c>
      <c r="L12" s="10" t="s">
        <v>165</v>
      </c>
      <c r="M12" s="26">
        <v>7200</v>
      </c>
      <c r="N12" s="26">
        <v>9800</v>
      </c>
      <c r="O12" s="11">
        <f t="shared" si="0"/>
        <v>0.26530612244897961</v>
      </c>
      <c r="P12" s="12"/>
      <c r="Q12" s="13" t="s">
        <v>281</v>
      </c>
      <c r="R12" s="12"/>
      <c r="S12" s="13" t="str">
        <f t="shared" si="1"/>
        <v>Robu search</v>
      </c>
      <c r="T12" s="12">
        <v>99.95</v>
      </c>
      <c r="U12" s="13" t="s">
        <v>282</v>
      </c>
      <c r="V12" s="12"/>
      <c r="W12" s="13" t="str">
        <f t="shared" si="2"/>
        <v>LCSC search</v>
      </c>
      <c r="X12" s="12"/>
      <c r="Y12" s="13" t="str">
        <f t="shared" si="3"/>
        <v>Mouser search</v>
      </c>
      <c r="Z12" s="12"/>
      <c r="AA12" s="13" t="str">
        <f t="shared" si="4"/>
        <v>DigiKey search</v>
      </c>
      <c r="AB12" s="9"/>
      <c r="AC12" s="9">
        <f>Inputs_Assumptions!$B$7</f>
        <v>150</v>
      </c>
      <c r="AD12" s="9">
        <f>Inputs_Assumptions!$B$7</f>
        <v>150</v>
      </c>
      <c r="AE12" s="11">
        <f>Inputs_Assumptions!$B$5</f>
        <v>0.1</v>
      </c>
      <c r="AF12" s="11">
        <f>Inputs_Assumptions!$B$6</f>
        <v>0.18</v>
      </c>
      <c r="AG12" s="14">
        <f>Inputs_Assumptions!$B$4</f>
        <v>83</v>
      </c>
      <c r="AH12" s="12"/>
      <c r="AI12" s="15"/>
      <c r="AJ12" s="16">
        <f t="shared" si="5"/>
        <v>8673</v>
      </c>
      <c r="AK12" s="11">
        <f>Inputs_Assumptions!$B$9</f>
        <v>0.35</v>
      </c>
      <c r="AL12" s="16">
        <f t="shared" si="6"/>
        <v>13343.076923076922</v>
      </c>
      <c r="AM12" s="11">
        <f>Inputs_Assumptions!$B$8</f>
        <v>0.18</v>
      </c>
      <c r="AN12" s="11" t="str">
        <f t="shared" si="7"/>
        <v/>
      </c>
      <c r="AO12" s="17" t="s">
        <v>168</v>
      </c>
      <c r="AP12" s="17"/>
      <c r="AQ12" s="17"/>
      <c r="AR12" s="17">
        <v>4</v>
      </c>
      <c r="AS12" s="17"/>
      <c r="AT12" s="10"/>
      <c r="AU12" s="9"/>
      <c r="AV12" s="10"/>
      <c r="AW12" t="s">
        <v>8</v>
      </c>
      <c r="AX12" t="s">
        <v>140</v>
      </c>
      <c r="BH12" t="s">
        <v>140</v>
      </c>
      <c r="BV12" s="9" t="s">
        <v>231</v>
      </c>
      <c r="BW12" s="9" t="s">
        <v>170</v>
      </c>
      <c r="BX12" s="9" t="s">
        <v>143</v>
      </c>
      <c r="BY12" s="9" t="s">
        <v>283</v>
      </c>
      <c r="BZ12" s="9" t="s">
        <v>145</v>
      </c>
      <c r="CA12" s="9" t="s">
        <v>146</v>
      </c>
      <c r="CB12" s="9" t="s">
        <v>147</v>
      </c>
      <c r="CC12" s="9" t="s">
        <v>148</v>
      </c>
      <c r="CD12" s="9"/>
      <c r="CE12" s="9" t="s">
        <v>149</v>
      </c>
      <c r="CF12" s="9"/>
      <c r="CG12" s="9"/>
      <c r="CH12" s="9" t="s">
        <v>150</v>
      </c>
      <c r="CI12" s="9" t="s">
        <v>150</v>
      </c>
      <c r="CJ12" s="9">
        <v>7</v>
      </c>
      <c r="CK12" s="9" t="s">
        <v>151</v>
      </c>
      <c r="CL12" s="9" t="s">
        <v>152</v>
      </c>
      <c r="CM12" s="9" t="s">
        <v>153</v>
      </c>
      <c r="CN12" s="9" t="s">
        <v>154</v>
      </c>
      <c r="CO12" s="9" t="s">
        <v>150</v>
      </c>
      <c r="CP12" s="9"/>
      <c r="CQ12" s="9"/>
      <c r="CR12" s="9" t="s">
        <v>155</v>
      </c>
      <c r="CS12" s="9" t="s">
        <v>233</v>
      </c>
      <c r="CT12" t="s">
        <v>173</v>
      </c>
      <c r="CU12">
        <v>25</v>
      </c>
      <c r="CV12" t="s">
        <v>284</v>
      </c>
    </row>
    <row r="13" spans="1:100" ht="45" hidden="1" customHeight="1" x14ac:dyDescent="0.3">
      <c r="A13" s="9" t="s">
        <v>285</v>
      </c>
      <c r="B13" s="9" t="s">
        <v>126</v>
      </c>
      <c r="C13" s="9" t="s">
        <v>127</v>
      </c>
      <c r="D13" s="10" t="s">
        <v>286</v>
      </c>
      <c r="E13" s="9" t="s">
        <v>129</v>
      </c>
      <c r="F13" s="9" t="s">
        <v>287</v>
      </c>
      <c r="G13" s="10" t="s">
        <v>288</v>
      </c>
      <c r="H13" s="10" t="s">
        <v>289</v>
      </c>
      <c r="I13" s="10" t="s">
        <v>290</v>
      </c>
      <c r="J13" s="10" t="s">
        <v>291</v>
      </c>
      <c r="K13" s="9" t="s">
        <v>165</v>
      </c>
      <c r="L13" s="10" t="s">
        <v>165</v>
      </c>
      <c r="M13" s="26">
        <v>65000</v>
      </c>
      <c r="N13" s="26">
        <v>82000</v>
      </c>
      <c r="O13" s="11">
        <f t="shared" si="0"/>
        <v>0.2073170731707317</v>
      </c>
      <c r="P13" s="12"/>
      <c r="Q13" s="13" t="s">
        <v>292</v>
      </c>
      <c r="R13" s="12"/>
      <c r="S13" s="13" t="str">
        <f t="shared" si="1"/>
        <v>Robu search</v>
      </c>
      <c r="T13" s="12"/>
      <c r="U13" s="13" t="s">
        <v>293</v>
      </c>
      <c r="V13" s="12"/>
      <c r="W13" s="13" t="str">
        <f t="shared" si="2"/>
        <v>LCSC search</v>
      </c>
      <c r="X13" s="12"/>
      <c r="Y13" s="13" t="str">
        <f t="shared" si="3"/>
        <v>Mouser search</v>
      </c>
      <c r="Z13" s="12"/>
      <c r="AA13" s="13" t="str">
        <f t="shared" si="4"/>
        <v>DigiKey search</v>
      </c>
      <c r="AB13" s="9"/>
      <c r="AC13" s="9">
        <f>Inputs_Assumptions!$B$7</f>
        <v>150</v>
      </c>
      <c r="AD13" s="9">
        <f>Inputs_Assumptions!$B$7</f>
        <v>150</v>
      </c>
      <c r="AE13" s="11">
        <f>Inputs_Assumptions!$B$5</f>
        <v>0.1</v>
      </c>
      <c r="AF13" s="11">
        <f>Inputs_Assumptions!$B$6</f>
        <v>0.18</v>
      </c>
      <c r="AG13" s="14">
        <f>Inputs_Assumptions!$B$4</f>
        <v>83</v>
      </c>
      <c r="AH13" s="12"/>
      <c r="AI13" s="15"/>
      <c r="AJ13" s="16">
        <f t="shared" si="5"/>
        <v>76877</v>
      </c>
      <c r="AK13" s="11">
        <f>Inputs_Assumptions!$B$9</f>
        <v>0.35</v>
      </c>
      <c r="AL13" s="16">
        <f t="shared" si="6"/>
        <v>118272.30769230769</v>
      </c>
      <c r="AM13" s="11">
        <f>Inputs_Assumptions!$B$8</f>
        <v>0.18</v>
      </c>
      <c r="AN13" s="11" t="str">
        <f t="shared" si="7"/>
        <v/>
      </c>
      <c r="AO13" s="17" t="s">
        <v>268</v>
      </c>
      <c r="AP13" s="17"/>
      <c r="AQ13" s="17"/>
      <c r="AR13" s="17"/>
      <c r="AS13" s="17"/>
      <c r="AT13" s="10"/>
      <c r="AU13" s="9"/>
      <c r="AV13" s="10"/>
      <c r="AW13" t="s">
        <v>8</v>
      </c>
      <c r="AX13" t="s">
        <v>140</v>
      </c>
      <c r="BH13" t="s">
        <v>140</v>
      </c>
      <c r="BV13" s="9" t="s">
        <v>294</v>
      </c>
      <c r="BW13" s="9" t="s">
        <v>142</v>
      </c>
      <c r="BX13" s="9" t="s">
        <v>143</v>
      </c>
      <c r="BY13" s="9" t="s">
        <v>295</v>
      </c>
      <c r="BZ13" s="9" t="s">
        <v>145</v>
      </c>
      <c r="CA13" s="9" t="s">
        <v>146</v>
      </c>
      <c r="CB13" s="9" t="s">
        <v>147</v>
      </c>
      <c r="CC13" s="9" t="s">
        <v>148</v>
      </c>
      <c r="CD13" s="9"/>
      <c r="CE13" s="9" t="s">
        <v>149</v>
      </c>
      <c r="CF13" s="9"/>
      <c r="CG13" s="9"/>
      <c r="CH13" s="9" t="s">
        <v>150</v>
      </c>
      <c r="CI13" s="9" t="s">
        <v>150</v>
      </c>
      <c r="CJ13" s="9">
        <v>7</v>
      </c>
      <c r="CK13" s="9" t="s">
        <v>151</v>
      </c>
      <c r="CL13" s="9" t="s">
        <v>152</v>
      </c>
      <c r="CM13" s="9" t="s">
        <v>153</v>
      </c>
      <c r="CN13" s="9" t="s">
        <v>154</v>
      </c>
      <c r="CO13" s="9" t="s">
        <v>150</v>
      </c>
      <c r="CP13" s="9"/>
      <c r="CQ13" s="9"/>
      <c r="CR13" s="9" t="s">
        <v>155</v>
      </c>
      <c r="CS13" s="9" t="s">
        <v>296</v>
      </c>
      <c r="CT13" t="s">
        <v>272</v>
      </c>
      <c r="CU13">
        <v>20</v>
      </c>
      <c r="CV13" t="s">
        <v>297</v>
      </c>
    </row>
    <row r="14" spans="1:100" ht="45" hidden="1" customHeight="1" x14ac:dyDescent="0.3">
      <c r="A14" s="9" t="s">
        <v>298</v>
      </c>
      <c r="B14" s="9" t="s">
        <v>299</v>
      </c>
      <c r="C14" s="9" t="s">
        <v>300</v>
      </c>
      <c r="D14" s="10" t="s">
        <v>301</v>
      </c>
      <c r="E14" s="9" t="s">
        <v>302</v>
      </c>
      <c r="F14" s="9" t="s">
        <v>303</v>
      </c>
      <c r="G14" s="10" t="s">
        <v>304</v>
      </c>
      <c r="H14" s="10" t="s">
        <v>305</v>
      </c>
      <c r="I14" s="10" t="s">
        <v>306</v>
      </c>
      <c r="J14" s="10" t="s">
        <v>164</v>
      </c>
      <c r="K14" s="9" t="s">
        <v>165</v>
      </c>
      <c r="L14" s="10" t="s">
        <v>165</v>
      </c>
      <c r="M14" s="26">
        <v>22000</v>
      </c>
      <c r="N14" s="26">
        <v>28500</v>
      </c>
      <c r="O14" s="11">
        <f t="shared" si="0"/>
        <v>0.22807017543859648</v>
      </c>
      <c r="P14" s="12"/>
      <c r="Q14" s="32" t="s">
        <v>307</v>
      </c>
      <c r="R14" s="12"/>
      <c r="S14" s="13" t="str">
        <f t="shared" si="1"/>
        <v>Robu search</v>
      </c>
      <c r="T14" s="12"/>
      <c r="U14" s="13" t="s">
        <v>308</v>
      </c>
      <c r="V14" s="12"/>
      <c r="W14" s="13" t="str">
        <f t="shared" si="2"/>
        <v>LCSC search</v>
      </c>
      <c r="X14" s="12"/>
      <c r="Y14" s="13" t="str">
        <f t="shared" si="3"/>
        <v>Mouser search</v>
      </c>
      <c r="Z14" s="12"/>
      <c r="AA14" s="13" t="str">
        <f t="shared" si="4"/>
        <v>DigiKey search</v>
      </c>
      <c r="AB14" s="9"/>
      <c r="AC14" s="9">
        <f>Inputs_Assumptions!$B$7</f>
        <v>150</v>
      </c>
      <c r="AD14" s="9">
        <f>Inputs_Assumptions!$B$7</f>
        <v>150</v>
      </c>
      <c r="AE14" s="11">
        <f>Inputs_Assumptions!$B$5</f>
        <v>0.1</v>
      </c>
      <c r="AF14" s="11">
        <f>Inputs_Assumptions!$B$6</f>
        <v>0.18</v>
      </c>
      <c r="AG14" s="14">
        <f>Inputs_Assumptions!$B$4</f>
        <v>83</v>
      </c>
      <c r="AH14" s="12"/>
      <c r="AI14" s="15"/>
      <c r="AJ14" s="16">
        <f t="shared" si="5"/>
        <v>26137</v>
      </c>
      <c r="AK14" s="11">
        <f>Inputs_Assumptions!$B$9</f>
        <v>0.35</v>
      </c>
      <c r="AL14" s="16">
        <f t="shared" si="6"/>
        <v>40210.769230769227</v>
      </c>
      <c r="AM14" s="11">
        <f>Inputs_Assumptions!$B$8</f>
        <v>0.18</v>
      </c>
      <c r="AN14" s="11" t="str">
        <f t="shared" si="7"/>
        <v/>
      </c>
      <c r="AO14" s="17" t="s">
        <v>268</v>
      </c>
      <c r="AP14" s="17"/>
      <c r="AQ14" s="17"/>
      <c r="AR14" s="17"/>
      <c r="AS14" s="17"/>
      <c r="AT14" s="10"/>
      <c r="AU14" s="9"/>
      <c r="AV14" s="10"/>
      <c r="AW14" t="s">
        <v>8</v>
      </c>
      <c r="AX14" t="s">
        <v>140</v>
      </c>
      <c r="BH14" t="s">
        <v>140</v>
      </c>
      <c r="BV14" s="9" t="s">
        <v>309</v>
      </c>
      <c r="BW14" s="9" t="s">
        <v>142</v>
      </c>
      <c r="BX14" s="9" t="s">
        <v>310</v>
      </c>
      <c r="BY14" s="9" t="s">
        <v>311</v>
      </c>
      <c r="BZ14" s="9" t="s">
        <v>312</v>
      </c>
      <c r="CA14" s="9" t="s">
        <v>146</v>
      </c>
      <c r="CB14" s="9" t="s">
        <v>147</v>
      </c>
      <c r="CC14" s="9" t="s">
        <v>148</v>
      </c>
      <c r="CD14" s="9"/>
      <c r="CE14" s="9" t="s">
        <v>149</v>
      </c>
      <c r="CF14" s="9"/>
      <c r="CG14" s="9"/>
      <c r="CH14" s="9" t="s">
        <v>150</v>
      </c>
      <c r="CI14" s="9" t="s">
        <v>150</v>
      </c>
      <c r="CJ14" s="9">
        <v>7</v>
      </c>
      <c r="CK14" s="9" t="s">
        <v>313</v>
      </c>
      <c r="CL14" s="9" t="s">
        <v>152</v>
      </c>
      <c r="CM14" s="9" t="s">
        <v>314</v>
      </c>
      <c r="CN14" s="9" t="s">
        <v>154</v>
      </c>
      <c r="CO14" s="9" t="s">
        <v>150</v>
      </c>
      <c r="CP14" s="9"/>
      <c r="CQ14" s="9"/>
      <c r="CR14" s="9" t="s">
        <v>155</v>
      </c>
      <c r="CS14" s="9" t="s">
        <v>315</v>
      </c>
      <c r="CT14" t="s">
        <v>272</v>
      </c>
      <c r="CU14">
        <v>11</v>
      </c>
      <c r="CV14" t="s">
        <v>316</v>
      </c>
    </row>
    <row r="15" spans="1:100" ht="45" hidden="1" customHeight="1" x14ac:dyDescent="0.3">
      <c r="A15" s="9" t="s">
        <v>317</v>
      </c>
      <c r="B15" s="9" t="s">
        <v>299</v>
      </c>
      <c r="C15" s="9" t="s">
        <v>300</v>
      </c>
      <c r="D15" s="10" t="s">
        <v>318</v>
      </c>
      <c r="E15" s="9" t="s">
        <v>129</v>
      </c>
      <c r="F15" s="9" t="s">
        <v>319</v>
      </c>
      <c r="G15" s="10" t="s">
        <v>320</v>
      </c>
      <c r="H15" s="10" t="s">
        <v>321</v>
      </c>
      <c r="I15" s="10" t="s">
        <v>322</v>
      </c>
      <c r="J15" s="10" t="s">
        <v>240</v>
      </c>
      <c r="K15" s="9" t="s">
        <v>165</v>
      </c>
      <c r="L15" s="10" t="s">
        <v>165</v>
      </c>
      <c r="M15" s="26">
        <v>28000</v>
      </c>
      <c r="N15" s="26">
        <v>36000</v>
      </c>
      <c r="O15" s="11">
        <f t="shared" si="0"/>
        <v>0.22222222222222221</v>
      </c>
      <c r="P15" s="12"/>
      <c r="Q15" s="13" t="s">
        <v>323</v>
      </c>
      <c r="R15" s="12"/>
      <c r="S15" s="13" t="str">
        <f t="shared" si="1"/>
        <v>Robu search</v>
      </c>
      <c r="T15" s="12">
        <v>338.27</v>
      </c>
      <c r="U15" s="13" t="s">
        <v>324</v>
      </c>
      <c r="V15" s="12"/>
      <c r="W15" s="13" t="str">
        <f t="shared" si="2"/>
        <v>LCSC search</v>
      </c>
      <c r="X15" s="12"/>
      <c r="Y15" s="13" t="str">
        <f t="shared" si="3"/>
        <v>Mouser search</v>
      </c>
      <c r="Z15" s="12"/>
      <c r="AA15" s="13" t="str">
        <f t="shared" si="4"/>
        <v>DigiKey search</v>
      </c>
      <c r="AB15" s="9"/>
      <c r="AC15" s="9">
        <f>Inputs_Assumptions!$B$7</f>
        <v>150</v>
      </c>
      <c r="AD15" s="9">
        <f>Inputs_Assumptions!$B$7</f>
        <v>150</v>
      </c>
      <c r="AE15" s="11">
        <f>Inputs_Assumptions!$B$5</f>
        <v>0.1</v>
      </c>
      <c r="AF15" s="11">
        <f>Inputs_Assumptions!$B$6</f>
        <v>0.18</v>
      </c>
      <c r="AG15" s="14">
        <f>Inputs_Assumptions!$B$4</f>
        <v>83</v>
      </c>
      <c r="AH15" s="12"/>
      <c r="AI15" s="15"/>
      <c r="AJ15" s="16">
        <f t="shared" si="5"/>
        <v>33217</v>
      </c>
      <c r="AK15" s="11">
        <f>Inputs_Assumptions!$B$9</f>
        <v>0.35</v>
      </c>
      <c r="AL15" s="16">
        <f t="shared" si="6"/>
        <v>51103.076923076922</v>
      </c>
      <c r="AM15" s="11">
        <f>Inputs_Assumptions!$B$8</f>
        <v>0.18</v>
      </c>
      <c r="AN15" s="11" t="str">
        <f t="shared" si="7"/>
        <v/>
      </c>
      <c r="AO15" s="17" t="s">
        <v>268</v>
      </c>
      <c r="AP15" s="17"/>
      <c r="AQ15" s="17"/>
      <c r="AR15" s="17"/>
      <c r="AS15" s="17"/>
      <c r="AT15" s="10"/>
      <c r="AU15" s="9"/>
      <c r="AV15" s="10"/>
      <c r="AW15" t="s">
        <v>8</v>
      </c>
      <c r="AX15" t="s">
        <v>140</v>
      </c>
      <c r="BH15" t="s">
        <v>140</v>
      </c>
      <c r="BV15" s="9" t="s">
        <v>269</v>
      </c>
      <c r="BW15" s="9" t="s">
        <v>142</v>
      </c>
      <c r="BX15" s="9" t="s">
        <v>310</v>
      </c>
      <c r="BY15" s="9" t="s">
        <v>325</v>
      </c>
      <c r="BZ15" s="9" t="s">
        <v>312</v>
      </c>
      <c r="CA15" s="9" t="s">
        <v>146</v>
      </c>
      <c r="CB15" s="9" t="s">
        <v>147</v>
      </c>
      <c r="CC15" s="9" t="s">
        <v>148</v>
      </c>
      <c r="CD15" s="9"/>
      <c r="CE15" s="9" t="s">
        <v>149</v>
      </c>
      <c r="CF15" s="9"/>
      <c r="CG15" s="9"/>
      <c r="CH15" s="9" t="s">
        <v>150</v>
      </c>
      <c r="CI15" s="9" t="s">
        <v>150</v>
      </c>
      <c r="CJ15" s="9">
        <v>7</v>
      </c>
      <c r="CK15" s="9" t="s">
        <v>313</v>
      </c>
      <c r="CL15" s="9" t="s">
        <v>152</v>
      </c>
      <c r="CM15" s="9" t="s">
        <v>314</v>
      </c>
      <c r="CN15" s="9" t="s">
        <v>154</v>
      </c>
      <c r="CO15" s="9" t="s">
        <v>150</v>
      </c>
      <c r="CP15" s="9"/>
      <c r="CQ15" s="9"/>
      <c r="CR15" s="9" t="s">
        <v>155</v>
      </c>
      <c r="CS15" s="9" t="s">
        <v>326</v>
      </c>
      <c r="CT15" t="s">
        <v>272</v>
      </c>
      <c r="CU15">
        <v>15</v>
      </c>
      <c r="CV15" t="s">
        <v>327</v>
      </c>
    </row>
    <row r="16" spans="1:100" ht="45" hidden="1" customHeight="1" x14ac:dyDescent="0.3">
      <c r="A16" s="9" t="s">
        <v>328</v>
      </c>
      <c r="B16" s="9" t="s">
        <v>299</v>
      </c>
      <c r="C16" s="9" t="s">
        <v>127</v>
      </c>
      <c r="D16" s="10" t="s">
        <v>329</v>
      </c>
      <c r="E16" s="9" t="s">
        <v>330</v>
      </c>
      <c r="F16" s="9" t="s">
        <v>329</v>
      </c>
      <c r="G16" s="10" t="s">
        <v>331</v>
      </c>
      <c r="H16" s="10" t="s">
        <v>332</v>
      </c>
      <c r="I16" s="10" t="s">
        <v>333</v>
      </c>
      <c r="J16" s="10" t="s">
        <v>334</v>
      </c>
      <c r="K16" s="9" t="s">
        <v>165</v>
      </c>
      <c r="L16" s="10" t="s">
        <v>165</v>
      </c>
      <c r="M16" s="26">
        <v>19000</v>
      </c>
      <c r="N16" s="26">
        <v>24500</v>
      </c>
      <c r="O16" s="11">
        <f t="shared" si="0"/>
        <v>0.22448979591836735</v>
      </c>
      <c r="P16" s="12">
        <v>50750.1</v>
      </c>
      <c r="Q16" s="13" t="s">
        <v>181</v>
      </c>
      <c r="R16" s="12"/>
      <c r="S16" s="13" t="str">
        <f t="shared" si="1"/>
        <v>Robu search</v>
      </c>
      <c r="T16" s="12"/>
      <c r="U16" s="13" t="s">
        <v>335</v>
      </c>
      <c r="V16" s="12"/>
      <c r="W16" s="13" t="str">
        <f t="shared" si="2"/>
        <v>LCSC search</v>
      </c>
      <c r="X16" s="12"/>
      <c r="Y16" s="13" t="str">
        <f t="shared" si="3"/>
        <v>Mouser search</v>
      </c>
      <c r="Z16" s="12"/>
      <c r="AA16" s="13" t="str">
        <f t="shared" si="4"/>
        <v>DigiKey search</v>
      </c>
      <c r="AB16" s="9"/>
      <c r="AC16" s="9">
        <f>Inputs_Assumptions!$B$7</f>
        <v>150</v>
      </c>
      <c r="AD16" s="9">
        <f>Inputs_Assumptions!$B$7</f>
        <v>150</v>
      </c>
      <c r="AE16" s="11">
        <f>Inputs_Assumptions!$B$5</f>
        <v>0.1</v>
      </c>
      <c r="AF16" s="11">
        <f>Inputs_Assumptions!$B$6</f>
        <v>0.18</v>
      </c>
      <c r="AG16" s="14">
        <f>Inputs_Assumptions!$B$4</f>
        <v>83</v>
      </c>
      <c r="AH16" s="12"/>
      <c r="AI16" s="15"/>
      <c r="AJ16" s="16">
        <f t="shared" si="5"/>
        <v>22597</v>
      </c>
      <c r="AK16" s="11">
        <f>Inputs_Assumptions!$B$9</f>
        <v>0.35</v>
      </c>
      <c r="AL16" s="16">
        <f t="shared" si="6"/>
        <v>34764.615384615383</v>
      </c>
      <c r="AM16" s="11">
        <f>Inputs_Assumptions!$B$8</f>
        <v>0.18</v>
      </c>
      <c r="AN16" s="11">
        <f t="shared" si="7"/>
        <v>0.37473979361617021</v>
      </c>
      <c r="AO16" s="17" t="s">
        <v>268</v>
      </c>
      <c r="AP16" s="17"/>
      <c r="AQ16" s="17"/>
      <c r="AR16" s="17"/>
      <c r="AS16" s="17"/>
      <c r="AT16" s="10"/>
      <c r="AU16" s="9"/>
      <c r="AV16" s="10"/>
      <c r="AW16" t="s">
        <v>8</v>
      </c>
      <c r="AX16" t="s">
        <v>140</v>
      </c>
      <c r="BH16" t="s">
        <v>140</v>
      </c>
      <c r="BV16" s="9" t="s">
        <v>309</v>
      </c>
      <c r="BW16" s="9" t="s">
        <v>142</v>
      </c>
      <c r="BX16" s="9" t="s">
        <v>310</v>
      </c>
      <c r="BY16" s="9" t="s">
        <v>336</v>
      </c>
      <c r="BZ16" s="9" t="s">
        <v>312</v>
      </c>
      <c r="CA16" s="9" t="s">
        <v>146</v>
      </c>
      <c r="CB16" s="9" t="s">
        <v>147</v>
      </c>
      <c r="CC16" s="9" t="s">
        <v>148</v>
      </c>
      <c r="CD16" s="9"/>
      <c r="CE16" s="9" t="s">
        <v>149</v>
      </c>
      <c r="CF16" s="9"/>
      <c r="CG16" s="9"/>
      <c r="CH16" s="9" t="s">
        <v>150</v>
      </c>
      <c r="CI16" s="9" t="s">
        <v>150</v>
      </c>
      <c r="CJ16" s="9">
        <v>7</v>
      </c>
      <c r="CK16" s="9" t="s">
        <v>313</v>
      </c>
      <c r="CL16" s="9" t="s">
        <v>152</v>
      </c>
      <c r="CM16" s="9" t="s">
        <v>314</v>
      </c>
      <c r="CN16" s="9" t="s">
        <v>154</v>
      </c>
      <c r="CO16" s="9" t="s">
        <v>150</v>
      </c>
      <c r="CP16" s="9"/>
      <c r="CQ16" s="9"/>
      <c r="CR16" s="9" t="s">
        <v>155</v>
      </c>
      <c r="CS16" s="9" t="s">
        <v>315</v>
      </c>
      <c r="CT16" t="s">
        <v>272</v>
      </c>
      <c r="CU16">
        <v>11</v>
      </c>
      <c r="CV16" t="s">
        <v>337</v>
      </c>
    </row>
    <row r="17" spans="1:100" ht="45" hidden="1" customHeight="1" x14ac:dyDescent="0.3">
      <c r="A17" s="9" t="s">
        <v>338</v>
      </c>
      <c r="B17" s="9" t="s">
        <v>299</v>
      </c>
      <c r="C17" s="9" t="s">
        <v>127</v>
      </c>
      <c r="D17" s="10" t="s">
        <v>339</v>
      </c>
      <c r="E17" s="9" t="s">
        <v>330</v>
      </c>
      <c r="F17" s="9" t="s">
        <v>339</v>
      </c>
      <c r="G17" s="10" t="s">
        <v>340</v>
      </c>
      <c r="H17" s="10" t="s">
        <v>341</v>
      </c>
      <c r="I17" s="10" t="s">
        <v>342</v>
      </c>
      <c r="J17" s="10" t="s">
        <v>334</v>
      </c>
      <c r="K17" s="9" t="s">
        <v>165</v>
      </c>
      <c r="L17" s="10" t="s">
        <v>165</v>
      </c>
      <c r="M17" s="26">
        <v>17500</v>
      </c>
      <c r="N17" s="26">
        <v>22500</v>
      </c>
      <c r="O17" s="11">
        <f t="shared" si="0"/>
        <v>0.22222222222222221</v>
      </c>
      <c r="P17" s="12">
        <v>3371</v>
      </c>
      <c r="Q17" s="13" t="s">
        <v>137</v>
      </c>
      <c r="R17" s="12"/>
      <c r="S17" s="13" t="str">
        <f t="shared" si="1"/>
        <v>Robu search</v>
      </c>
      <c r="T17" s="12">
        <v>282.8</v>
      </c>
      <c r="U17" s="13" t="s">
        <v>138</v>
      </c>
      <c r="V17" s="12"/>
      <c r="W17" s="13" t="str">
        <f t="shared" si="2"/>
        <v>LCSC search</v>
      </c>
      <c r="X17" s="12"/>
      <c r="Y17" s="13" t="str">
        <f t="shared" si="3"/>
        <v>Mouser search</v>
      </c>
      <c r="Z17" s="12"/>
      <c r="AA17" s="13" t="str">
        <f t="shared" si="4"/>
        <v>DigiKey search</v>
      </c>
      <c r="AB17" s="9"/>
      <c r="AC17" s="9">
        <f>Inputs_Assumptions!$B$7</f>
        <v>150</v>
      </c>
      <c r="AD17" s="9">
        <f>Inputs_Assumptions!$B$7</f>
        <v>150</v>
      </c>
      <c r="AE17" s="11">
        <f>Inputs_Assumptions!$B$5</f>
        <v>0.1</v>
      </c>
      <c r="AF17" s="11">
        <f>Inputs_Assumptions!$B$6</f>
        <v>0.18</v>
      </c>
      <c r="AG17" s="14">
        <f>Inputs_Assumptions!$B$4</f>
        <v>83</v>
      </c>
      <c r="AH17" s="12"/>
      <c r="AI17" s="15"/>
      <c r="AJ17" s="16">
        <f t="shared" si="5"/>
        <v>20827</v>
      </c>
      <c r="AK17" s="11">
        <f>Inputs_Assumptions!$B$9</f>
        <v>0.35</v>
      </c>
      <c r="AL17" s="16">
        <f t="shared" si="6"/>
        <v>32041.538461538461</v>
      </c>
      <c r="AM17" s="11">
        <f>Inputs_Assumptions!$B$8</f>
        <v>0.18</v>
      </c>
      <c r="AN17" s="11">
        <f t="shared" si="7"/>
        <v>-5.3582853752595669</v>
      </c>
      <c r="AO17" s="17" t="s">
        <v>268</v>
      </c>
      <c r="AP17" s="17"/>
      <c r="AQ17" s="17"/>
      <c r="AR17" s="17"/>
      <c r="AS17" s="17"/>
      <c r="AT17" s="10"/>
      <c r="AU17" s="9"/>
      <c r="AV17" s="10"/>
      <c r="AW17" t="s">
        <v>8</v>
      </c>
      <c r="AX17" t="s">
        <v>140</v>
      </c>
      <c r="BH17" t="s">
        <v>140</v>
      </c>
      <c r="BV17" s="9" t="s">
        <v>269</v>
      </c>
      <c r="BW17" s="9" t="s">
        <v>142</v>
      </c>
      <c r="BX17" s="9" t="s">
        <v>310</v>
      </c>
      <c r="BY17" s="9" t="s">
        <v>343</v>
      </c>
      <c r="BZ17" s="9" t="s">
        <v>312</v>
      </c>
      <c r="CA17" s="9" t="s">
        <v>146</v>
      </c>
      <c r="CB17" s="9" t="s">
        <v>147</v>
      </c>
      <c r="CC17" s="9" t="s">
        <v>148</v>
      </c>
      <c r="CD17" s="9"/>
      <c r="CE17" s="9" t="s">
        <v>149</v>
      </c>
      <c r="CF17" s="9"/>
      <c r="CG17" s="9"/>
      <c r="CH17" s="9" t="s">
        <v>150</v>
      </c>
      <c r="CI17" s="9" t="s">
        <v>150</v>
      </c>
      <c r="CJ17" s="9">
        <v>7</v>
      </c>
      <c r="CK17" s="9" t="s">
        <v>313</v>
      </c>
      <c r="CL17" s="9" t="s">
        <v>152</v>
      </c>
      <c r="CM17" s="9" t="s">
        <v>314</v>
      </c>
      <c r="CN17" s="9" t="s">
        <v>154</v>
      </c>
      <c r="CO17" s="9" t="s">
        <v>150</v>
      </c>
      <c r="CP17" s="9"/>
      <c r="CQ17" s="9"/>
      <c r="CR17" s="9" t="s">
        <v>155</v>
      </c>
      <c r="CS17" s="9" t="s">
        <v>326</v>
      </c>
      <c r="CT17" t="s">
        <v>272</v>
      </c>
      <c r="CU17">
        <v>11</v>
      </c>
      <c r="CV17" t="s">
        <v>344</v>
      </c>
    </row>
    <row r="18" spans="1:100" ht="45" hidden="1" customHeight="1" x14ac:dyDescent="0.3">
      <c r="A18" s="9" t="s">
        <v>345</v>
      </c>
      <c r="B18" s="9" t="s">
        <v>299</v>
      </c>
      <c r="C18" s="9" t="s">
        <v>127</v>
      </c>
      <c r="D18" s="10" t="s">
        <v>346</v>
      </c>
      <c r="E18" s="9" t="s">
        <v>347</v>
      </c>
      <c r="F18" s="9" t="s">
        <v>348</v>
      </c>
      <c r="G18" s="10" t="s">
        <v>349</v>
      </c>
      <c r="H18" s="10" t="s">
        <v>350</v>
      </c>
      <c r="I18" s="10" t="s">
        <v>351</v>
      </c>
      <c r="J18" s="10" t="s">
        <v>240</v>
      </c>
      <c r="K18" s="9" t="s">
        <v>165</v>
      </c>
      <c r="L18" s="10" t="s">
        <v>165</v>
      </c>
      <c r="M18" s="26">
        <v>14500</v>
      </c>
      <c r="N18" s="26">
        <v>18500</v>
      </c>
      <c r="O18" s="11">
        <f t="shared" si="0"/>
        <v>0.21621621621621623</v>
      </c>
      <c r="P18" s="12"/>
      <c r="Q18" s="13" t="s">
        <v>352</v>
      </c>
      <c r="R18" s="12"/>
      <c r="S18" s="13" t="str">
        <f t="shared" si="1"/>
        <v>Robu search</v>
      </c>
      <c r="T18" s="12"/>
      <c r="U18" s="13" t="s">
        <v>353</v>
      </c>
      <c r="V18" s="12"/>
      <c r="W18" s="13" t="str">
        <f t="shared" si="2"/>
        <v>LCSC search</v>
      </c>
      <c r="X18" s="12"/>
      <c r="Y18" s="13" t="str">
        <f t="shared" si="3"/>
        <v>Mouser search</v>
      </c>
      <c r="Z18" s="12"/>
      <c r="AA18" s="13" t="str">
        <f t="shared" si="4"/>
        <v>DigiKey search</v>
      </c>
      <c r="AB18" s="9"/>
      <c r="AC18" s="9">
        <f>Inputs_Assumptions!$B$7</f>
        <v>150</v>
      </c>
      <c r="AD18" s="9">
        <f>Inputs_Assumptions!$B$7</f>
        <v>150</v>
      </c>
      <c r="AE18" s="11">
        <f>Inputs_Assumptions!$B$5</f>
        <v>0.1</v>
      </c>
      <c r="AF18" s="11">
        <f>Inputs_Assumptions!$B$6</f>
        <v>0.18</v>
      </c>
      <c r="AG18" s="14">
        <f>Inputs_Assumptions!$B$4</f>
        <v>83</v>
      </c>
      <c r="AH18" s="12"/>
      <c r="AI18" s="15"/>
      <c r="AJ18" s="16">
        <f t="shared" si="5"/>
        <v>17287</v>
      </c>
      <c r="AK18" s="11">
        <f>Inputs_Assumptions!$B$9</f>
        <v>0.35</v>
      </c>
      <c r="AL18" s="16">
        <f t="shared" si="6"/>
        <v>26595.384615384613</v>
      </c>
      <c r="AM18" s="11">
        <f>Inputs_Assumptions!$B$8</f>
        <v>0.18</v>
      </c>
      <c r="AN18" s="11" t="str">
        <f t="shared" si="7"/>
        <v/>
      </c>
      <c r="AO18" s="17" t="s">
        <v>268</v>
      </c>
      <c r="AP18" s="17"/>
      <c r="AQ18" s="17"/>
      <c r="AR18" s="17"/>
      <c r="AS18" s="17"/>
      <c r="AT18" s="10"/>
      <c r="AU18" s="9"/>
      <c r="AV18" s="10"/>
      <c r="AW18" t="s">
        <v>8</v>
      </c>
      <c r="AX18" t="s">
        <v>140</v>
      </c>
      <c r="BH18" t="s">
        <v>140</v>
      </c>
      <c r="BV18" s="9" t="s">
        <v>269</v>
      </c>
      <c r="BW18" s="9" t="s">
        <v>142</v>
      </c>
      <c r="BX18" s="9" t="s">
        <v>310</v>
      </c>
      <c r="BY18" s="9" t="s">
        <v>354</v>
      </c>
      <c r="BZ18" s="9" t="s">
        <v>312</v>
      </c>
      <c r="CA18" s="9" t="s">
        <v>146</v>
      </c>
      <c r="CB18" s="9" t="s">
        <v>147</v>
      </c>
      <c r="CC18" s="9" t="s">
        <v>148</v>
      </c>
      <c r="CD18" s="9"/>
      <c r="CE18" s="9" t="s">
        <v>149</v>
      </c>
      <c r="CF18" s="9"/>
      <c r="CG18" s="9"/>
      <c r="CH18" s="9" t="s">
        <v>150</v>
      </c>
      <c r="CI18" s="9" t="s">
        <v>150</v>
      </c>
      <c r="CJ18" s="9">
        <v>7</v>
      </c>
      <c r="CK18" s="9" t="s">
        <v>313</v>
      </c>
      <c r="CL18" s="9" t="s">
        <v>152</v>
      </c>
      <c r="CM18" s="9" t="s">
        <v>314</v>
      </c>
      <c r="CN18" s="9" t="s">
        <v>154</v>
      </c>
      <c r="CO18" s="9" t="s">
        <v>150</v>
      </c>
      <c r="CP18" s="9"/>
      <c r="CQ18" s="9"/>
      <c r="CR18" s="9" t="s">
        <v>155</v>
      </c>
      <c r="CS18" s="9" t="s">
        <v>326</v>
      </c>
      <c r="CT18" t="s">
        <v>272</v>
      </c>
      <c r="CU18">
        <v>11</v>
      </c>
      <c r="CV18" t="s">
        <v>355</v>
      </c>
    </row>
    <row r="19" spans="1:100" ht="45" hidden="1" customHeight="1" x14ac:dyDescent="0.3">
      <c r="A19" s="9" t="s">
        <v>356</v>
      </c>
      <c r="B19" s="9" t="s">
        <v>299</v>
      </c>
      <c r="C19" s="9" t="s">
        <v>300</v>
      </c>
      <c r="D19" s="10" t="s">
        <v>357</v>
      </c>
      <c r="E19" s="9" t="s">
        <v>358</v>
      </c>
      <c r="F19" s="9" t="s">
        <v>359</v>
      </c>
      <c r="G19" s="10" t="s">
        <v>360</v>
      </c>
      <c r="H19" s="10" t="s">
        <v>361</v>
      </c>
      <c r="I19" s="10" t="s">
        <v>362</v>
      </c>
      <c r="J19" s="10" t="s">
        <v>240</v>
      </c>
      <c r="K19" s="9" t="s">
        <v>165</v>
      </c>
      <c r="L19" s="10" t="s">
        <v>165</v>
      </c>
      <c r="M19" s="26">
        <v>16000</v>
      </c>
      <c r="N19" s="26">
        <v>21000</v>
      </c>
      <c r="O19" s="11">
        <f t="shared" si="0"/>
        <v>0.23809523809523808</v>
      </c>
      <c r="P19" s="12"/>
      <c r="Q19" s="13" t="s">
        <v>363</v>
      </c>
      <c r="R19" s="12"/>
      <c r="S19" s="13" t="str">
        <f t="shared" si="1"/>
        <v>Robu search</v>
      </c>
      <c r="T19" s="12"/>
      <c r="U19" s="13" t="s">
        <v>364</v>
      </c>
      <c r="V19" s="12"/>
      <c r="W19" s="13" t="str">
        <f t="shared" si="2"/>
        <v>LCSC search</v>
      </c>
      <c r="X19" s="12"/>
      <c r="Y19" s="13" t="str">
        <f t="shared" si="3"/>
        <v>Mouser search</v>
      </c>
      <c r="Z19" s="12"/>
      <c r="AA19" s="13" t="str">
        <f t="shared" si="4"/>
        <v>DigiKey search</v>
      </c>
      <c r="AB19" s="9"/>
      <c r="AC19" s="9">
        <f>Inputs_Assumptions!$B$7</f>
        <v>150</v>
      </c>
      <c r="AD19" s="9">
        <f>Inputs_Assumptions!$B$7</f>
        <v>150</v>
      </c>
      <c r="AE19" s="11">
        <f>Inputs_Assumptions!$B$5</f>
        <v>0.1</v>
      </c>
      <c r="AF19" s="11">
        <f>Inputs_Assumptions!$B$6</f>
        <v>0.18</v>
      </c>
      <c r="AG19" s="14">
        <f>Inputs_Assumptions!$B$4</f>
        <v>83</v>
      </c>
      <c r="AH19" s="12"/>
      <c r="AI19" s="15"/>
      <c r="AJ19" s="16">
        <f t="shared" si="5"/>
        <v>19057</v>
      </c>
      <c r="AK19" s="11">
        <f>Inputs_Assumptions!$B$9</f>
        <v>0.35</v>
      </c>
      <c r="AL19" s="16">
        <f t="shared" si="6"/>
        <v>29318.461538461539</v>
      </c>
      <c r="AM19" s="11">
        <f>Inputs_Assumptions!$B$8</f>
        <v>0.18</v>
      </c>
      <c r="AN19" s="11" t="str">
        <f t="shared" si="7"/>
        <v/>
      </c>
      <c r="AO19" s="17" t="s">
        <v>268</v>
      </c>
      <c r="AP19" s="17"/>
      <c r="AQ19" s="17"/>
      <c r="AR19" s="17"/>
      <c r="AS19" s="17"/>
      <c r="AT19" s="10"/>
      <c r="AU19" s="9"/>
      <c r="AV19" s="10"/>
      <c r="AW19" t="s">
        <v>8</v>
      </c>
      <c r="AX19" t="s">
        <v>140</v>
      </c>
      <c r="BH19" t="s">
        <v>140</v>
      </c>
      <c r="BV19" s="9" t="s">
        <v>365</v>
      </c>
      <c r="BW19" s="9" t="s">
        <v>170</v>
      </c>
      <c r="BX19" s="9" t="s">
        <v>143</v>
      </c>
      <c r="BY19" s="9" t="s">
        <v>366</v>
      </c>
      <c r="BZ19" s="9" t="s">
        <v>145</v>
      </c>
      <c r="CA19" s="9" t="s">
        <v>146</v>
      </c>
      <c r="CB19" s="9" t="s">
        <v>147</v>
      </c>
      <c r="CC19" s="9" t="s">
        <v>148</v>
      </c>
      <c r="CD19" s="9"/>
      <c r="CE19" s="9" t="s">
        <v>149</v>
      </c>
      <c r="CF19" s="9"/>
      <c r="CG19" s="9"/>
      <c r="CH19" s="9" t="s">
        <v>150</v>
      </c>
      <c r="CI19" s="9" t="s">
        <v>150</v>
      </c>
      <c r="CJ19" s="9">
        <v>7</v>
      </c>
      <c r="CK19" s="9" t="s">
        <v>151</v>
      </c>
      <c r="CL19" s="9" t="s">
        <v>152</v>
      </c>
      <c r="CM19" s="9" t="s">
        <v>153</v>
      </c>
      <c r="CN19" s="9" t="s">
        <v>154</v>
      </c>
      <c r="CO19" s="9" t="s">
        <v>150</v>
      </c>
      <c r="CP19" s="9"/>
      <c r="CQ19" s="9"/>
      <c r="CR19" s="9" t="s">
        <v>155</v>
      </c>
      <c r="CS19" s="9" t="s">
        <v>367</v>
      </c>
      <c r="CT19" t="s">
        <v>272</v>
      </c>
      <c r="CU19">
        <v>20</v>
      </c>
      <c r="CV19" t="s">
        <v>368</v>
      </c>
    </row>
    <row r="20" spans="1:100" ht="45" hidden="1" customHeight="1" x14ac:dyDescent="0.3">
      <c r="A20" s="9" t="s">
        <v>369</v>
      </c>
      <c r="B20" s="9" t="s">
        <v>299</v>
      </c>
      <c r="C20" s="9" t="s">
        <v>127</v>
      </c>
      <c r="D20" s="10" t="s">
        <v>370</v>
      </c>
      <c r="E20" s="9" t="s">
        <v>371</v>
      </c>
      <c r="F20" s="9" t="s">
        <v>372</v>
      </c>
      <c r="G20" s="10" t="s">
        <v>373</v>
      </c>
      <c r="H20" s="10" t="s">
        <v>374</v>
      </c>
      <c r="I20" s="10" t="s">
        <v>375</v>
      </c>
      <c r="J20" s="10" t="s">
        <v>206</v>
      </c>
      <c r="K20" s="9" t="s">
        <v>165</v>
      </c>
      <c r="L20" s="10" t="s">
        <v>165</v>
      </c>
      <c r="M20" s="26">
        <v>6500</v>
      </c>
      <c r="N20" s="26">
        <v>9500</v>
      </c>
      <c r="O20" s="11">
        <f t="shared" si="0"/>
        <v>0.31578947368421051</v>
      </c>
      <c r="P20" s="12">
        <v>10156.4</v>
      </c>
      <c r="Q20" s="13" t="s">
        <v>220</v>
      </c>
      <c r="R20" s="12"/>
      <c r="S20" s="13" t="str">
        <f t="shared" si="1"/>
        <v>Robu search</v>
      </c>
      <c r="T20" s="12">
        <v>21.28</v>
      </c>
      <c r="U20" s="13" t="s">
        <v>221</v>
      </c>
      <c r="V20" s="12"/>
      <c r="W20" s="13" t="str">
        <f t="shared" si="2"/>
        <v>LCSC search</v>
      </c>
      <c r="X20" s="12"/>
      <c r="Y20" s="13" t="str">
        <f t="shared" si="3"/>
        <v>Mouser search</v>
      </c>
      <c r="Z20" s="12"/>
      <c r="AA20" s="13" t="str">
        <f t="shared" si="4"/>
        <v>DigiKey search</v>
      </c>
      <c r="AB20" s="9"/>
      <c r="AC20" s="9">
        <f>Inputs_Assumptions!$B$7</f>
        <v>150</v>
      </c>
      <c r="AD20" s="9">
        <f>Inputs_Assumptions!$B$7</f>
        <v>150</v>
      </c>
      <c r="AE20" s="11">
        <f>Inputs_Assumptions!$B$5</f>
        <v>0.1</v>
      </c>
      <c r="AF20" s="11">
        <f>Inputs_Assumptions!$B$6</f>
        <v>0.18</v>
      </c>
      <c r="AG20" s="14">
        <f>Inputs_Assumptions!$B$4</f>
        <v>83</v>
      </c>
      <c r="AH20" s="12"/>
      <c r="AI20" s="15"/>
      <c r="AJ20" s="16">
        <f t="shared" si="5"/>
        <v>7847</v>
      </c>
      <c r="AK20" s="11">
        <f>Inputs_Assumptions!$B$9</f>
        <v>0.35</v>
      </c>
      <c r="AL20" s="16">
        <f t="shared" si="6"/>
        <v>12072.307692307691</v>
      </c>
      <c r="AM20" s="11">
        <f>Inputs_Assumptions!$B$8</f>
        <v>0.18</v>
      </c>
      <c r="AN20" s="11">
        <f t="shared" si="7"/>
        <v>4.7383718640463139E-2</v>
      </c>
      <c r="AO20" s="17" t="s">
        <v>268</v>
      </c>
      <c r="AP20" s="17"/>
      <c r="AQ20" s="17"/>
      <c r="AR20" s="17">
        <v>6</v>
      </c>
      <c r="AS20" s="17"/>
      <c r="AT20" s="10"/>
      <c r="AU20" s="9"/>
      <c r="AV20" s="10"/>
      <c r="AW20" t="s">
        <v>8</v>
      </c>
      <c r="AX20" t="s">
        <v>140</v>
      </c>
      <c r="BH20" t="s">
        <v>140</v>
      </c>
      <c r="BV20" s="9" t="s">
        <v>376</v>
      </c>
      <c r="BW20" s="9" t="s">
        <v>210</v>
      </c>
      <c r="BX20" s="9" t="s">
        <v>310</v>
      </c>
      <c r="BY20" s="9" t="s">
        <v>377</v>
      </c>
      <c r="BZ20" s="9" t="s">
        <v>312</v>
      </c>
      <c r="CA20" s="9" t="s">
        <v>146</v>
      </c>
      <c r="CB20" s="9" t="s">
        <v>147</v>
      </c>
      <c r="CC20" s="9" t="s">
        <v>148</v>
      </c>
      <c r="CD20" s="9"/>
      <c r="CE20" s="9" t="s">
        <v>149</v>
      </c>
      <c r="CF20" s="9"/>
      <c r="CG20" s="9"/>
      <c r="CH20" s="9" t="s">
        <v>150</v>
      </c>
      <c r="CI20" s="9" t="s">
        <v>150</v>
      </c>
      <c r="CJ20" s="9">
        <v>7</v>
      </c>
      <c r="CK20" s="9" t="s">
        <v>313</v>
      </c>
      <c r="CL20" s="9" t="s">
        <v>152</v>
      </c>
      <c r="CM20" s="9" t="s">
        <v>314</v>
      </c>
      <c r="CN20" s="9" t="s">
        <v>154</v>
      </c>
      <c r="CO20" s="9" t="s">
        <v>150</v>
      </c>
      <c r="CP20" s="9"/>
      <c r="CQ20" s="9"/>
      <c r="CR20" s="9" t="s">
        <v>155</v>
      </c>
      <c r="CS20" s="9" t="s">
        <v>378</v>
      </c>
      <c r="CT20" t="s">
        <v>272</v>
      </c>
      <c r="CU20">
        <v>16</v>
      </c>
      <c r="CV20" t="s">
        <v>379</v>
      </c>
    </row>
    <row r="21" spans="1:100" ht="45" customHeight="1" x14ac:dyDescent="0.3">
      <c r="A21" s="9" t="s">
        <v>380</v>
      </c>
      <c r="B21" s="9" t="s">
        <v>381</v>
      </c>
      <c r="C21" s="9" t="s">
        <v>127</v>
      </c>
      <c r="D21" s="10" t="s">
        <v>382</v>
      </c>
      <c r="E21" s="9" t="s">
        <v>383</v>
      </c>
      <c r="F21" s="9" t="s">
        <v>384</v>
      </c>
      <c r="G21" s="10" t="s">
        <v>385</v>
      </c>
      <c r="H21" s="10" t="s">
        <v>386</v>
      </c>
      <c r="I21" s="10" t="s">
        <v>387</v>
      </c>
      <c r="J21" s="10" t="s">
        <v>388</v>
      </c>
      <c r="K21" s="9" t="s">
        <v>135</v>
      </c>
      <c r="L21" s="10" t="s">
        <v>389</v>
      </c>
      <c r="M21" s="26">
        <v>21999</v>
      </c>
      <c r="N21" s="26">
        <v>33850</v>
      </c>
      <c r="O21" s="27">
        <v>0.35010000000000002</v>
      </c>
      <c r="P21" s="12">
        <v>37499</v>
      </c>
      <c r="Q21" s="13" t="s">
        <v>390</v>
      </c>
      <c r="R21" s="28">
        <v>21999</v>
      </c>
      <c r="S21" s="13" t="s">
        <v>391</v>
      </c>
      <c r="T21" s="12">
        <v>62.76</v>
      </c>
      <c r="U21" s="13" t="s">
        <v>392</v>
      </c>
      <c r="V21" s="12"/>
      <c r="W21" s="13" t="str">
        <f t="shared" si="2"/>
        <v>LCSC search</v>
      </c>
      <c r="X21" s="12"/>
      <c r="Y21" s="13" t="str">
        <f t="shared" si="3"/>
        <v>Mouser search</v>
      </c>
      <c r="Z21" s="12"/>
      <c r="AA21" s="13" t="str">
        <f t="shared" si="4"/>
        <v>DigiKey search</v>
      </c>
      <c r="AB21" s="9"/>
      <c r="AC21" s="9">
        <f>Inputs_Assumptions!$B$7</f>
        <v>150</v>
      </c>
      <c r="AD21" s="9">
        <f>Inputs_Assumptions!$B$7</f>
        <v>150</v>
      </c>
      <c r="AE21" s="11">
        <f>Inputs_Assumptions!$B$5</f>
        <v>0.1</v>
      </c>
      <c r="AF21" s="11">
        <f>Inputs_Assumptions!$B$6</f>
        <v>0.18</v>
      </c>
      <c r="AG21" s="14">
        <f>Inputs_Assumptions!$B$4</f>
        <v>83</v>
      </c>
      <c r="AH21" s="12"/>
      <c r="AI21" s="15"/>
      <c r="AJ21" s="16">
        <f t="shared" si="5"/>
        <v>26135.82</v>
      </c>
      <c r="AK21" s="11">
        <f>Inputs_Assumptions!$B$9</f>
        <v>0.35</v>
      </c>
      <c r="AL21" s="16">
        <f t="shared" si="6"/>
        <v>40208.953846153847</v>
      </c>
      <c r="AM21" s="11">
        <f>Inputs_Assumptions!$B$8</f>
        <v>0.18</v>
      </c>
      <c r="AN21" s="11">
        <f t="shared" si="7"/>
        <v>0.12302621403237421</v>
      </c>
      <c r="AO21" s="17" t="s">
        <v>139</v>
      </c>
      <c r="AP21" s="17">
        <v>2</v>
      </c>
      <c r="AQ21" s="17">
        <v>4</v>
      </c>
      <c r="AR21" s="17">
        <v>8</v>
      </c>
      <c r="AS21" s="17">
        <v>1</v>
      </c>
      <c r="AT21" s="10"/>
      <c r="AU21" s="29" t="s">
        <v>140</v>
      </c>
      <c r="AV21" s="10" t="s">
        <v>393</v>
      </c>
      <c r="AW21" t="s">
        <v>8</v>
      </c>
      <c r="AX21" t="s">
        <v>140</v>
      </c>
      <c r="BC21" s="30" t="s">
        <v>140</v>
      </c>
      <c r="BD21" t="s">
        <v>394</v>
      </c>
      <c r="BE21" t="s">
        <v>395</v>
      </c>
      <c r="BF21" t="s">
        <v>396</v>
      </c>
      <c r="BG21" t="s">
        <v>397</v>
      </c>
      <c r="BH21" t="s">
        <v>140</v>
      </c>
      <c r="BM21" s="31">
        <v>21999</v>
      </c>
      <c r="BN21" t="s">
        <v>398</v>
      </c>
      <c r="BO21" t="s">
        <v>391</v>
      </c>
      <c r="BP21" t="s">
        <v>394</v>
      </c>
      <c r="BQ21" t="s">
        <v>395</v>
      </c>
      <c r="BR21" t="s">
        <v>396</v>
      </c>
      <c r="BS21" t="s">
        <v>397</v>
      </c>
      <c r="BT21" s="30" t="s">
        <v>140</v>
      </c>
      <c r="BU21" t="s">
        <v>399</v>
      </c>
      <c r="BV21" s="9" t="s">
        <v>400</v>
      </c>
      <c r="BW21" s="9" t="s">
        <v>210</v>
      </c>
      <c r="BX21" s="9" t="s">
        <v>401</v>
      </c>
      <c r="BY21" s="9" t="s">
        <v>402</v>
      </c>
      <c r="BZ21" s="9" t="s">
        <v>403</v>
      </c>
      <c r="CA21" s="9" t="s">
        <v>146</v>
      </c>
      <c r="CB21" s="9" t="s">
        <v>404</v>
      </c>
      <c r="CC21" s="9" t="s">
        <v>405</v>
      </c>
      <c r="CD21" s="9" t="s">
        <v>391</v>
      </c>
      <c r="CE21" s="9" t="s">
        <v>406</v>
      </c>
      <c r="CF21" s="9"/>
      <c r="CG21" s="9"/>
      <c r="CH21" s="9" t="s">
        <v>407</v>
      </c>
      <c r="CI21" s="9" t="s">
        <v>150</v>
      </c>
      <c r="CJ21" s="9">
        <v>7</v>
      </c>
      <c r="CK21" s="9" t="s">
        <v>408</v>
      </c>
      <c r="CL21" s="9" t="s">
        <v>152</v>
      </c>
      <c r="CM21" s="9" t="s">
        <v>409</v>
      </c>
      <c r="CN21" s="9" t="s">
        <v>410</v>
      </c>
      <c r="CO21" s="9" t="s">
        <v>407</v>
      </c>
      <c r="CP21" s="9" t="s">
        <v>394</v>
      </c>
      <c r="CQ21" s="9" t="s">
        <v>411</v>
      </c>
      <c r="CR21" s="9" t="s">
        <v>155</v>
      </c>
      <c r="CS21" s="9" t="s">
        <v>412</v>
      </c>
      <c r="CT21" t="s">
        <v>157</v>
      </c>
      <c r="CU21">
        <v>33.4</v>
      </c>
      <c r="CV21" t="s">
        <v>413</v>
      </c>
    </row>
    <row r="22" spans="1:100" ht="45" hidden="1" customHeight="1" x14ac:dyDescent="0.3">
      <c r="A22" s="9" t="s">
        <v>414</v>
      </c>
      <c r="B22" s="9" t="s">
        <v>381</v>
      </c>
      <c r="C22" s="9" t="s">
        <v>127</v>
      </c>
      <c r="D22" s="10" t="s">
        <v>415</v>
      </c>
      <c r="E22" s="9" t="s">
        <v>383</v>
      </c>
      <c r="F22" s="9" t="s">
        <v>416</v>
      </c>
      <c r="G22" s="10" t="s">
        <v>417</v>
      </c>
      <c r="H22" s="10" t="s">
        <v>418</v>
      </c>
      <c r="I22" s="10" t="s">
        <v>419</v>
      </c>
      <c r="J22" s="10" t="s">
        <v>420</v>
      </c>
      <c r="K22" s="9" t="s">
        <v>165</v>
      </c>
      <c r="L22" s="10" t="s">
        <v>165</v>
      </c>
      <c r="M22" s="26">
        <v>49999</v>
      </c>
      <c r="N22" s="26">
        <v>76930</v>
      </c>
      <c r="O22" s="27">
        <v>0.35010000000000002</v>
      </c>
      <c r="P22" s="12">
        <v>147499</v>
      </c>
      <c r="Q22" s="13" t="s">
        <v>421</v>
      </c>
      <c r="R22" s="28">
        <v>49999</v>
      </c>
      <c r="S22" s="13" t="s">
        <v>422</v>
      </c>
      <c r="T22" s="12">
        <v>763.45</v>
      </c>
      <c r="U22" s="13" t="s">
        <v>423</v>
      </c>
      <c r="V22" s="12"/>
      <c r="W22" s="13" t="str">
        <f t="shared" si="2"/>
        <v>LCSC search</v>
      </c>
      <c r="X22" s="12"/>
      <c r="Y22" s="13" t="str">
        <f t="shared" si="3"/>
        <v>Mouser search</v>
      </c>
      <c r="Z22" s="12"/>
      <c r="AA22" s="13" t="str">
        <f t="shared" si="4"/>
        <v>DigiKey search</v>
      </c>
      <c r="AB22" s="9"/>
      <c r="AC22" s="9">
        <f>Inputs_Assumptions!$B$7</f>
        <v>150</v>
      </c>
      <c r="AD22" s="9">
        <f>Inputs_Assumptions!$B$7</f>
        <v>150</v>
      </c>
      <c r="AE22" s="11">
        <f>Inputs_Assumptions!$B$5</f>
        <v>0.1</v>
      </c>
      <c r="AF22" s="11">
        <f>Inputs_Assumptions!$B$6</f>
        <v>0.18</v>
      </c>
      <c r="AG22" s="14">
        <f>Inputs_Assumptions!$B$4</f>
        <v>83</v>
      </c>
      <c r="AH22" s="12"/>
      <c r="AI22" s="15"/>
      <c r="AJ22" s="16">
        <f t="shared" si="5"/>
        <v>59175.82</v>
      </c>
      <c r="AK22" s="11">
        <f>Inputs_Assumptions!$B$9</f>
        <v>0.35</v>
      </c>
      <c r="AL22" s="16">
        <f t="shared" si="6"/>
        <v>91039.723076923066</v>
      </c>
      <c r="AM22" s="11">
        <f>Inputs_Assumptions!$B$8</f>
        <v>0.18</v>
      </c>
      <c r="AN22" s="11">
        <f t="shared" si="7"/>
        <v>0.41880528003579681</v>
      </c>
      <c r="AO22" s="17" t="s">
        <v>168</v>
      </c>
      <c r="AP22" s="17"/>
      <c r="AQ22" s="17"/>
      <c r="AR22" s="17">
        <v>3</v>
      </c>
      <c r="AS22" s="17"/>
      <c r="AT22" s="10"/>
      <c r="AU22" s="29" t="s">
        <v>140</v>
      </c>
      <c r="AV22" s="10"/>
      <c r="AW22" t="s">
        <v>8</v>
      </c>
      <c r="AX22" t="s">
        <v>140</v>
      </c>
      <c r="BC22" s="30" t="s">
        <v>140</v>
      </c>
      <c r="BD22" t="s">
        <v>394</v>
      </c>
      <c r="BE22" t="s">
        <v>395</v>
      </c>
      <c r="BF22" t="s">
        <v>396</v>
      </c>
      <c r="BG22" t="s">
        <v>397</v>
      </c>
      <c r="BH22" t="s">
        <v>140</v>
      </c>
      <c r="BM22" s="31">
        <v>49999</v>
      </c>
      <c r="BN22" t="s">
        <v>398</v>
      </c>
      <c r="BO22" t="s">
        <v>422</v>
      </c>
      <c r="BP22" t="s">
        <v>394</v>
      </c>
      <c r="BQ22" t="s">
        <v>395</v>
      </c>
      <c r="BR22" t="s">
        <v>396</v>
      </c>
      <c r="BS22" t="s">
        <v>397</v>
      </c>
      <c r="BT22" s="30" t="s">
        <v>140</v>
      </c>
      <c r="BU22" t="s">
        <v>424</v>
      </c>
      <c r="BV22" s="9" t="s">
        <v>400</v>
      </c>
      <c r="BW22" s="9" t="s">
        <v>210</v>
      </c>
      <c r="BX22" s="9" t="s">
        <v>401</v>
      </c>
      <c r="BY22" s="9" t="s">
        <v>425</v>
      </c>
      <c r="BZ22" s="9" t="s">
        <v>403</v>
      </c>
      <c r="CA22" s="9" t="s">
        <v>146</v>
      </c>
      <c r="CB22" s="9" t="s">
        <v>404</v>
      </c>
      <c r="CC22" s="9" t="s">
        <v>405</v>
      </c>
      <c r="CD22" s="9" t="s">
        <v>422</v>
      </c>
      <c r="CE22" s="9" t="s">
        <v>406</v>
      </c>
      <c r="CF22" s="9"/>
      <c r="CG22" s="9"/>
      <c r="CH22" s="9" t="s">
        <v>407</v>
      </c>
      <c r="CI22" s="9" t="s">
        <v>150</v>
      </c>
      <c r="CJ22" s="9">
        <v>7</v>
      </c>
      <c r="CK22" s="9" t="s">
        <v>408</v>
      </c>
      <c r="CL22" s="9" t="s">
        <v>152</v>
      </c>
      <c r="CM22" s="9" t="s">
        <v>409</v>
      </c>
      <c r="CN22" s="9" t="s">
        <v>410</v>
      </c>
      <c r="CO22" s="9" t="s">
        <v>407</v>
      </c>
      <c r="CP22" s="9" t="s">
        <v>394</v>
      </c>
      <c r="CQ22" s="9" t="s">
        <v>426</v>
      </c>
      <c r="CR22" s="9" t="s">
        <v>155</v>
      </c>
      <c r="CS22" s="9" t="s">
        <v>412</v>
      </c>
      <c r="CT22" t="s">
        <v>173</v>
      </c>
      <c r="CU22">
        <v>25.3</v>
      </c>
      <c r="CV22" t="s">
        <v>427</v>
      </c>
    </row>
    <row r="23" spans="1:100" ht="45" hidden="1" customHeight="1" x14ac:dyDescent="0.3">
      <c r="A23" s="9" t="s">
        <v>428</v>
      </c>
      <c r="B23" s="9" t="s">
        <v>381</v>
      </c>
      <c r="C23" s="9" t="s">
        <v>127</v>
      </c>
      <c r="D23" s="10" t="s">
        <v>429</v>
      </c>
      <c r="E23" s="9" t="s">
        <v>383</v>
      </c>
      <c r="F23" s="9" t="s">
        <v>430</v>
      </c>
      <c r="G23" s="10" t="s">
        <v>431</v>
      </c>
      <c r="H23" s="10" t="s">
        <v>290</v>
      </c>
      <c r="I23" s="10" t="s">
        <v>432</v>
      </c>
      <c r="J23" s="10" t="s">
        <v>433</v>
      </c>
      <c r="K23" s="9" t="s">
        <v>165</v>
      </c>
      <c r="L23" s="10" t="s">
        <v>165</v>
      </c>
      <c r="M23" s="26">
        <v>219999</v>
      </c>
      <c r="N23" s="26">
        <v>338460</v>
      </c>
      <c r="O23" s="27">
        <v>0.35</v>
      </c>
      <c r="P23" s="12">
        <v>217533</v>
      </c>
      <c r="Q23" s="13" t="s">
        <v>434</v>
      </c>
      <c r="R23" s="28">
        <v>219999</v>
      </c>
      <c r="S23" s="13" t="s">
        <v>435</v>
      </c>
      <c r="T23" s="12">
        <v>1899</v>
      </c>
      <c r="U23" s="13" t="s">
        <v>436</v>
      </c>
      <c r="V23" s="12"/>
      <c r="W23" s="13" t="str">
        <f t="shared" si="2"/>
        <v>LCSC search</v>
      </c>
      <c r="X23" s="12"/>
      <c r="Y23" s="13" t="str">
        <f t="shared" si="3"/>
        <v>Mouser search</v>
      </c>
      <c r="Z23" s="12"/>
      <c r="AA23" s="13" t="str">
        <f t="shared" si="4"/>
        <v>DigiKey search</v>
      </c>
      <c r="AB23" s="9"/>
      <c r="AC23" s="9">
        <f>Inputs_Assumptions!$B$7</f>
        <v>150</v>
      </c>
      <c r="AD23" s="9">
        <f>Inputs_Assumptions!$B$7</f>
        <v>150</v>
      </c>
      <c r="AE23" s="11">
        <f>Inputs_Assumptions!$B$5</f>
        <v>0.1</v>
      </c>
      <c r="AF23" s="11">
        <f>Inputs_Assumptions!$B$6</f>
        <v>0.18</v>
      </c>
      <c r="AG23" s="14">
        <f>Inputs_Assumptions!$B$4</f>
        <v>83</v>
      </c>
      <c r="AH23" s="12"/>
      <c r="AI23" s="15"/>
      <c r="AJ23" s="16">
        <f t="shared" si="5"/>
        <v>259775.81999999998</v>
      </c>
      <c r="AK23" s="11">
        <f>Inputs_Assumptions!$B$9</f>
        <v>0.35</v>
      </c>
      <c r="AL23" s="16">
        <f t="shared" si="6"/>
        <v>399655.10769230762</v>
      </c>
      <c r="AM23" s="11">
        <f>Inputs_Assumptions!$B$8</f>
        <v>0.18</v>
      </c>
      <c r="AN23" s="11">
        <f t="shared" si="7"/>
        <v>-0.37419039869812848</v>
      </c>
      <c r="AO23" s="17" t="s">
        <v>168</v>
      </c>
      <c r="AP23" s="17"/>
      <c r="AQ23" s="17"/>
      <c r="AR23" s="17"/>
      <c r="AS23" s="17"/>
      <c r="AT23" s="10"/>
      <c r="AU23" s="29" t="s">
        <v>140</v>
      </c>
      <c r="AV23" s="10"/>
      <c r="AW23" t="s">
        <v>8</v>
      </c>
      <c r="AX23" t="s">
        <v>140</v>
      </c>
      <c r="BC23" s="30" t="s">
        <v>140</v>
      </c>
      <c r="BD23" t="s">
        <v>394</v>
      </c>
      <c r="BE23" t="s">
        <v>395</v>
      </c>
      <c r="BF23" t="s">
        <v>396</v>
      </c>
      <c r="BG23" t="s">
        <v>397</v>
      </c>
      <c r="BH23" t="s">
        <v>140</v>
      </c>
      <c r="BM23" s="31">
        <v>219999</v>
      </c>
      <c r="BN23" t="s">
        <v>398</v>
      </c>
      <c r="BO23" t="s">
        <v>435</v>
      </c>
      <c r="BP23" t="s">
        <v>394</v>
      </c>
      <c r="BQ23" t="s">
        <v>395</v>
      </c>
      <c r="BR23" t="s">
        <v>396</v>
      </c>
      <c r="BS23" t="s">
        <v>397</v>
      </c>
      <c r="BT23" s="30" t="s">
        <v>140</v>
      </c>
      <c r="BU23" t="s">
        <v>437</v>
      </c>
      <c r="BV23" s="9" t="s">
        <v>400</v>
      </c>
      <c r="BW23" s="9" t="s">
        <v>210</v>
      </c>
      <c r="BX23" s="9" t="s">
        <v>401</v>
      </c>
      <c r="BY23" s="9" t="s">
        <v>438</v>
      </c>
      <c r="BZ23" s="9" t="s">
        <v>403</v>
      </c>
      <c r="CA23" s="9" t="s">
        <v>146</v>
      </c>
      <c r="CB23" s="9" t="s">
        <v>404</v>
      </c>
      <c r="CC23" s="9" t="s">
        <v>405</v>
      </c>
      <c r="CD23" s="9" t="s">
        <v>435</v>
      </c>
      <c r="CE23" s="9" t="s">
        <v>406</v>
      </c>
      <c r="CF23" s="9"/>
      <c r="CG23" s="9"/>
      <c r="CH23" s="9" t="s">
        <v>407</v>
      </c>
      <c r="CI23" s="9" t="s">
        <v>150</v>
      </c>
      <c r="CJ23" s="9">
        <v>7</v>
      </c>
      <c r="CK23" s="9" t="s">
        <v>408</v>
      </c>
      <c r="CL23" s="9" t="s">
        <v>152</v>
      </c>
      <c r="CM23" s="9" t="s">
        <v>409</v>
      </c>
      <c r="CN23" s="9" t="s">
        <v>410</v>
      </c>
      <c r="CO23" s="9" t="s">
        <v>407</v>
      </c>
      <c r="CP23" s="9" t="s">
        <v>394</v>
      </c>
      <c r="CQ23" s="9" t="s">
        <v>439</v>
      </c>
      <c r="CR23" s="9" t="s">
        <v>155</v>
      </c>
      <c r="CS23" s="9" t="s">
        <v>412</v>
      </c>
      <c r="CT23" t="s">
        <v>173</v>
      </c>
      <c r="CU23">
        <v>25.3</v>
      </c>
      <c r="CV23" t="s">
        <v>440</v>
      </c>
    </row>
    <row r="24" spans="1:100" ht="45" hidden="1" customHeight="1" x14ac:dyDescent="0.3">
      <c r="A24" s="9" t="s">
        <v>441</v>
      </c>
      <c r="B24" s="9" t="s">
        <v>381</v>
      </c>
      <c r="C24" s="9" t="s">
        <v>127</v>
      </c>
      <c r="D24" s="10" t="s">
        <v>442</v>
      </c>
      <c r="E24" s="9" t="s">
        <v>443</v>
      </c>
      <c r="F24" s="9" t="s">
        <v>444</v>
      </c>
      <c r="G24" s="10" t="s">
        <v>445</v>
      </c>
      <c r="H24" s="10" t="s">
        <v>446</v>
      </c>
      <c r="I24" s="10" t="s">
        <v>447</v>
      </c>
      <c r="J24" s="10" t="s">
        <v>448</v>
      </c>
      <c r="K24" s="9" t="s">
        <v>165</v>
      </c>
      <c r="L24" s="10" t="s">
        <v>165</v>
      </c>
      <c r="M24" s="26">
        <v>14535</v>
      </c>
      <c r="N24" s="26">
        <v>22370</v>
      </c>
      <c r="O24" s="27">
        <v>0.35020000000000001</v>
      </c>
      <c r="P24" s="12">
        <v>14990</v>
      </c>
      <c r="Q24" s="13" t="s">
        <v>449</v>
      </c>
      <c r="R24" s="28">
        <v>14535</v>
      </c>
      <c r="S24" s="13" t="s">
        <v>450</v>
      </c>
      <c r="T24" s="12">
        <v>51.5</v>
      </c>
      <c r="U24" s="13" t="s">
        <v>451</v>
      </c>
      <c r="V24" s="12"/>
      <c r="W24" s="13" t="str">
        <f t="shared" si="2"/>
        <v>LCSC search</v>
      </c>
      <c r="X24" s="12"/>
      <c r="Y24" s="13" t="str">
        <f t="shared" si="3"/>
        <v>Mouser search</v>
      </c>
      <c r="Z24" s="12"/>
      <c r="AA24" s="13" t="str">
        <f t="shared" si="4"/>
        <v>DigiKey search</v>
      </c>
      <c r="AB24" s="9"/>
      <c r="AC24" s="9">
        <f>Inputs_Assumptions!$B$7</f>
        <v>150</v>
      </c>
      <c r="AD24" s="9">
        <f>Inputs_Assumptions!$B$7</f>
        <v>150</v>
      </c>
      <c r="AE24" s="11">
        <f>Inputs_Assumptions!$B$5</f>
        <v>0.1</v>
      </c>
      <c r="AF24" s="11">
        <f>Inputs_Assumptions!$B$6</f>
        <v>0.18</v>
      </c>
      <c r="AG24" s="14">
        <f>Inputs_Assumptions!$B$4</f>
        <v>83</v>
      </c>
      <c r="AH24" s="12"/>
      <c r="AI24" s="15"/>
      <c r="AJ24" s="16">
        <f t="shared" si="5"/>
        <v>17328.3</v>
      </c>
      <c r="AK24" s="11">
        <f>Inputs_Assumptions!$B$9</f>
        <v>0.35</v>
      </c>
      <c r="AL24" s="16">
        <f t="shared" si="6"/>
        <v>26658.923076923074</v>
      </c>
      <c r="AM24" s="11">
        <f>Inputs_Assumptions!$B$8</f>
        <v>0.18</v>
      </c>
      <c r="AN24" s="11">
        <f t="shared" si="7"/>
        <v>-0.33599066044029346</v>
      </c>
      <c r="AO24" s="17" t="s">
        <v>168</v>
      </c>
      <c r="AP24" s="17">
        <v>1</v>
      </c>
      <c r="AQ24" s="17">
        <v>2</v>
      </c>
      <c r="AR24" s="17">
        <v>4</v>
      </c>
      <c r="AS24" s="17">
        <v>1</v>
      </c>
      <c r="AT24" s="10"/>
      <c r="AU24" s="29" t="s">
        <v>140</v>
      </c>
      <c r="AV24" s="10"/>
      <c r="AW24" t="s">
        <v>8</v>
      </c>
      <c r="AX24" t="s">
        <v>140</v>
      </c>
      <c r="BC24" s="30" t="s">
        <v>140</v>
      </c>
      <c r="BD24" t="s">
        <v>394</v>
      </c>
      <c r="BE24" t="s">
        <v>395</v>
      </c>
      <c r="BF24" t="s">
        <v>396</v>
      </c>
      <c r="BG24" t="s">
        <v>397</v>
      </c>
      <c r="BH24" t="s">
        <v>140</v>
      </c>
      <c r="BM24" s="31">
        <v>14535</v>
      </c>
      <c r="BN24" t="s">
        <v>398</v>
      </c>
      <c r="BO24" t="s">
        <v>450</v>
      </c>
      <c r="BP24" t="s">
        <v>394</v>
      </c>
      <c r="BQ24" t="s">
        <v>395</v>
      </c>
      <c r="BR24" t="s">
        <v>396</v>
      </c>
      <c r="BS24" t="s">
        <v>397</v>
      </c>
      <c r="BT24" s="30" t="s">
        <v>140</v>
      </c>
      <c r="BU24" t="s">
        <v>452</v>
      </c>
      <c r="BV24" s="9" t="s">
        <v>400</v>
      </c>
      <c r="BW24" s="9" t="s">
        <v>210</v>
      </c>
      <c r="BX24" s="9" t="s">
        <v>401</v>
      </c>
      <c r="BY24" s="9" t="s">
        <v>453</v>
      </c>
      <c r="BZ24" s="9" t="s">
        <v>403</v>
      </c>
      <c r="CA24" s="9" t="s">
        <v>146</v>
      </c>
      <c r="CB24" s="9" t="s">
        <v>404</v>
      </c>
      <c r="CC24" s="9" t="s">
        <v>405</v>
      </c>
      <c r="CD24" s="9" t="s">
        <v>450</v>
      </c>
      <c r="CE24" s="9" t="s">
        <v>406</v>
      </c>
      <c r="CF24" s="9"/>
      <c r="CG24" s="9"/>
      <c r="CH24" s="9" t="s">
        <v>407</v>
      </c>
      <c r="CI24" s="9" t="s">
        <v>150</v>
      </c>
      <c r="CJ24" s="9">
        <v>7</v>
      </c>
      <c r="CK24" s="9" t="s">
        <v>151</v>
      </c>
      <c r="CL24" s="9" t="s">
        <v>152</v>
      </c>
      <c r="CM24" s="9" t="s">
        <v>153</v>
      </c>
      <c r="CN24" s="9" t="s">
        <v>410</v>
      </c>
      <c r="CO24" s="9" t="s">
        <v>407</v>
      </c>
      <c r="CP24" s="9" t="s">
        <v>394</v>
      </c>
      <c r="CQ24" s="9" t="s">
        <v>454</v>
      </c>
      <c r="CR24" s="9" t="s">
        <v>155</v>
      </c>
      <c r="CS24" s="9" t="s">
        <v>412</v>
      </c>
      <c r="CT24" t="s">
        <v>173</v>
      </c>
      <c r="CU24">
        <v>27.3</v>
      </c>
      <c r="CV24" t="s">
        <v>455</v>
      </c>
    </row>
    <row r="25" spans="1:100" ht="45" hidden="1" customHeight="1" x14ac:dyDescent="0.3">
      <c r="A25" s="9" t="s">
        <v>456</v>
      </c>
      <c r="B25" s="9" t="s">
        <v>381</v>
      </c>
      <c r="C25" s="9" t="s">
        <v>127</v>
      </c>
      <c r="D25" s="10" t="s">
        <v>457</v>
      </c>
      <c r="E25" s="9" t="s">
        <v>458</v>
      </c>
      <c r="F25" s="9" t="s">
        <v>459</v>
      </c>
      <c r="G25" s="10" t="s">
        <v>460</v>
      </c>
      <c r="H25" s="10" t="s">
        <v>461</v>
      </c>
      <c r="I25" s="10" t="s">
        <v>462</v>
      </c>
      <c r="J25" s="10" t="s">
        <v>240</v>
      </c>
      <c r="K25" s="9" t="s">
        <v>165</v>
      </c>
      <c r="L25" s="10" t="s">
        <v>165</v>
      </c>
      <c r="M25" s="26">
        <v>9200</v>
      </c>
      <c r="N25" s="26">
        <v>11500</v>
      </c>
      <c r="O25" s="11">
        <f t="shared" ref="O25:O32" si="8">IF(AND(M25&lt;&gt;"",N25&lt;&gt;""),(N25-M25)/N25,"")</f>
        <v>0.2</v>
      </c>
      <c r="P25" s="12"/>
      <c r="Q25" s="13" t="s">
        <v>463</v>
      </c>
      <c r="R25" s="12"/>
      <c r="S25" s="13" t="str">
        <f t="shared" ref="S25:S32" si="9">HYPERLINK("https://robu.in/?s="&amp;SUBSTITUTE($D25," ","+")&amp;"&amp;post_type=product","Robu search")</f>
        <v>Robu search</v>
      </c>
      <c r="T25" s="12">
        <v>143.06</v>
      </c>
      <c r="U25" s="13" t="s">
        <v>464</v>
      </c>
      <c r="V25" s="12"/>
      <c r="W25" s="13" t="str">
        <f t="shared" si="2"/>
        <v>LCSC search</v>
      </c>
      <c r="X25" s="12"/>
      <c r="Y25" s="13" t="str">
        <f t="shared" si="3"/>
        <v>Mouser search</v>
      </c>
      <c r="Z25" s="12"/>
      <c r="AA25" s="13" t="str">
        <f t="shared" si="4"/>
        <v>DigiKey search</v>
      </c>
      <c r="AB25" s="9"/>
      <c r="AC25" s="9">
        <f>Inputs_Assumptions!$B$7</f>
        <v>150</v>
      </c>
      <c r="AD25" s="9">
        <f>Inputs_Assumptions!$B$7</f>
        <v>150</v>
      </c>
      <c r="AE25" s="11">
        <f>Inputs_Assumptions!$B$5</f>
        <v>0.1</v>
      </c>
      <c r="AF25" s="11">
        <f>Inputs_Assumptions!$B$6</f>
        <v>0.18</v>
      </c>
      <c r="AG25" s="14">
        <f>Inputs_Assumptions!$B$4</f>
        <v>83</v>
      </c>
      <c r="AH25" s="12"/>
      <c r="AI25" s="15"/>
      <c r="AJ25" s="16">
        <f t="shared" si="5"/>
        <v>11033</v>
      </c>
      <c r="AK25" s="11">
        <f>Inputs_Assumptions!$B$9</f>
        <v>0.35</v>
      </c>
      <c r="AL25" s="16">
        <f t="shared" si="6"/>
        <v>16973.846153846152</v>
      </c>
      <c r="AM25" s="11">
        <f>Inputs_Assumptions!$B$8</f>
        <v>0.18</v>
      </c>
      <c r="AN25" s="11" t="str">
        <f t="shared" si="7"/>
        <v/>
      </c>
      <c r="AO25" s="17" t="s">
        <v>268</v>
      </c>
      <c r="AP25" s="17"/>
      <c r="AQ25" s="17"/>
      <c r="AR25" s="17">
        <v>6</v>
      </c>
      <c r="AS25" s="17"/>
      <c r="AT25" s="10"/>
      <c r="AU25" s="9"/>
      <c r="AV25" s="10"/>
      <c r="AW25" t="s">
        <v>8</v>
      </c>
      <c r="AX25" t="s">
        <v>140</v>
      </c>
      <c r="BH25" t="s">
        <v>140</v>
      </c>
      <c r="BI25" t="s">
        <v>465</v>
      </c>
      <c r="BJ25" t="s">
        <v>466</v>
      </c>
      <c r="BV25" s="9" t="s">
        <v>467</v>
      </c>
      <c r="BW25" s="9" t="s">
        <v>142</v>
      </c>
      <c r="BX25" s="9" t="s">
        <v>401</v>
      </c>
      <c r="BY25" s="9" t="s">
        <v>468</v>
      </c>
      <c r="BZ25" s="9" t="s">
        <v>403</v>
      </c>
      <c r="CA25" s="9" t="s">
        <v>146</v>
      </c>
      <c r="CB25" s="9" t="s">
        <v>404</v>
      </c>
      <c r="CC25" s="9" t="s">
        <v>469</v>
      </c>
      <c r="CD25" s="9" t="s">
        <v>466</v>
      </c>
      <c r="CE25" s="9" t="s">
        <v>470</v>
      </c>
      <c r="CF25" s="9" t="s">
        <v>466</v>
      </c>
      <c r="CG25" s="9"/>
      <c r="CH25" s="9" t="s">
        <v>407</v>
      </c>
      <c r="CI25" s="9" t="s">
        <v>150</v>
      </c>
      <c r="CJ25" s="9">
        <v>7</v>
      </c>
      <c r="CK25" s="9" t="s">
        <v>151</v>
      </c>
      <c r="CL25" s="9" t="s">
        <v>471</v>
      </c>
      <c r="CM25" s="9" t="s">
        <v>153</v>
      </c>
      <c r="CN25" s="9" t="s">
        <v>154</v>
      </c>
      <c r="CO25" s="9" t="s">
        <v>150</v>
      </c>
      <c r="CP25" s="9" t="s">
        <v>465</v>
      </c>
      <c r="CQ25" s="9"/>
      <c r="CR25" s="9" t="s">
        <v>155</v>
      </c>
      <c r="CS25" s="9" t="s">
        <v>472</v>
      </c>
      <c r="CT25" t="s">
        <v>272</v>
      </c>
      <c r="CU25">
        <v>16</v>
      </c>
      <c r="CV25" t="s">
        <v>473</v>
      </c>
    </row>
    <row r="26" spans="1:100" ht="45" hidden="1" customHeight="1" x14ac:dyDescent="0.3">
      <c r="A26" s="9" t="s">
        <v>474</v>
      </c>
      <c r="B26" s="9" t="s">
        <v>381</v>
      </c>
      <c r="C26" s="9" t="s">
        <v>127</v>
      </c>
      <c r="D26" s="10" t="s">
        <v>475</v>
      </c>
      <c r="E26" s="9" t="s">
        <v>476</v>
      </c>
      <c r="F26" s="9" t="s">
        <v>477</v>
      </c>
      <c r="G26" s="10" t="s">
        <v>478</v>
      </c>
      <c r="H26" s="10" t="s">
        <v>479</v>
      </c>
      <c r="I26" s="10" t="s">
        <v>480</v>
      </c>
      <c r="J26" s="10" t="s">
        <v>481</v>
      </c>
      <c r="K26" s="9" t="s">
        <v>135</v>
      </c>
      <c r="L26" s="10" t="s">
        <v>165</v>
      </c>
      <c r="M26" s="26">
        <v>1500</v>
      </c>
      <c r="N26" s="26">
        <v>2500</v>
      </c>
      <c r="O26" s="11">
        <f t="shared" si="8"/>
        <v>0.4</v>
      </c>
      <c r="P26" s="12">
        <v>12499</v>
      </c>
      <c r="Q26" s="13" t="s">
        <v>482</v>
      </c>
      <c r="R26" s="12"/>
      <c r="S26" s="13" t="str">
        <f t="shared" si="9"/>
        <v>Robu search</v>
      </c>
      <c r="T26" s="12">
        <v>22.66</v>
      </c>
      <c r="U26" s="13" t="s">
        <v>483</v>
      </c>
      <c r="V26" s="12"/>
      <c r="W26" s="13" t="str">
        <f t="shared" si="2"/>
        <v>LCSC search</v>
      </c>
      <c r="X26" s="12"/>
      <c r="Y26" s="13" t="str">
        <f t="shared" si="3"/>
        <v>Mouser search</v>
      </c>
      <c r="Z26" s="12"/>
      <c r="AA26" s="13" t="str">
        <f t="shared" si="4"/>
        <v>DigiKey search</v>
      </c>
      <c r="AB26" s="9"/>
      <c r="AC26" s="9">
        <f>Inputs_Assumptions!$B$7</f>
        <v>150</v>
      </c>
      <c r="AD26" s="9">
        <f>Inputs_Assumptions!$B$7</f>
        <v>150</v>
      </c>
      <c r="AE26" s="11">
        <f>Inputs_Assumptions!$B$5</f>
        <v>0.1</v>
      </c>
      <c r="AF26" s="11">
        <f>Inputs_Assumptions!$B$6</f>
        <v>0.18</v>
      </c>
      <c r="AG26" s="14">
        <f>Inputs_Assumptions!$B$4</f>
        <v>83</v>
      </c>
      <c r="AH26" s="12"/>
      <c r="AI26" s="15"/>
      <c r="AJ26" s="16">
        <f t="shared" si="5"/>
        <v>1947</v>
      </c>
      <c r="AK26" s="11">
        <f>Inputs_Assumptions!$B$9</f>
        <v>0.35</v>
      </c>
      <c r="AL26" s="16">
        <f t="shared" si="6"/>
        <v>2995.3846153846152</v>
      </c>
      <c r="AM26" s="11">
        <f>Inputs_Assumptions!$B$8</f>
        <v>0.18</v>
      </c>
      <c r="AN26" s="11">
        <f t="shared" si="7"/>
        <v>0.66422753820305624</v>
      </c>
      <c r="AO26" s="17" t="s">
        <v>168</v>
      </c>
      <c r="AP26" s="17">
        <v>5</v>
      </c>
      <c r="AQ26" s="17">
        <v>5</v>
      </c>
      <c r="AR26" s="17">
        <v>10</v>
      </c>
      <c r="AS26" s="17">
        <v>2</v>
      </c>
      <c r="AT26" s="10"/>
      <c r="AU26" s="9"/>
      <c r="AV26" s="10"/>
      <c r="AW26" t="s">
        <v>8</v>
      </c>
      <c r="AX26" t="s">
        <v>140</v>
      </c>
      <c r="BH26" t="s">
        <v>140</v>
      </c>
      <c r="BV26" s="9" t="s">
        <v>484</v>
      </c>
      <c r="BW26" s="9" t="s">
        <v>210</v>
      </c>
      <c r="BX26" s="9" t="s">
        <v>401</v>
      </c>
      <c r="BY26" s="9" t="s">
        <v>485</v>
      </c>
      <c r="BZ26" s="9" t="s">
        <v>403</v>
      </c>
      <c r="CA26" s="9" t="s">
        <v>146</v>
      </c>
      <c r="CB26" s="9" t="s">
        <v>147</v>
      </c>
      <c r="CC26" s="9" t="s">
        <v>148</v>
      </c>
      <c r="CD26" s="9"/>
      <c r="CE26" s="9" t="s">
        <v>149</v>
      </c>
      <c r="CF26" s="9"/>
      <c r="CG26" s="9"/>
      <c r="CH26" s="9" t="s">
        <v>150</v>
      </c>
      <c r="CI26" s="9" t="s">
        <v>150</v>
      </c>
      <c r="CJ26" s="9">
        <v>7</v>
      </c>
      <c r="CK26" s="9" t="s">
        <v>408</v>
      </c>
      <c r="CL26" s="9" t="s">
        <v>152</v>
      </c>
      <c r="CM26" s="9" t="s">
        <v>409</v>
      </c>
      <c r="CN26" s="9" t="s">
        <v>154</v>
      </c>
      <c r="CO26" s="9" t="s">
        <v>150</v>
      </c>
      <c r="CP26" s="9"/>
      <c r="CQ26" s="9"/>
      <c r="CR26" s="9" t="s">
        <v>155</v>
      </c>
      <c r="CS26" s="9" t="s">
        <v>486</v>
      </c>
      <c r="CT26" t="s">
        <v>173</v>
      </c>
      <c r="CU26">
        <v>25.2</v>
      </c>
      <c r="CV26" t="s">
        <v>487</v>
      </c>
    </row>
    <row r="27" spans="1:100" ht="45" hidden="1" customHeight="1" x14ac:dyDescent="0.3">
      <c r="A27" s="9" t="s">
        <v>488</v>
      </c>
      <c r="B27" s="9" t="s">
        <v>489</v>
      </c>
      <c r="C27" s="9" t="s">
        <v>490</v>
      </c>
      <c r="D27" s="10" t="s">
        <v>491</v>
      </c>
      <c r="E27" s="9" t="s">
        <v>492</v>
      </c>
      <c r="F27" s="9" t="s">
        <v>491</v>
      </c>
      <c r="G27" s="10"/>
      <c r="H27" s="10" t="s">
        <v>493</v>
      </c>
      <c r="I27" s="10" t="s">
        <v>494</v>
      </c>
      <c r="J27" s="10" t="s">
        <v>495</v>
      </c>
      <c r="K27" s="9" t="s">
        <v>194</v>
      </c>
      <c r="L27" s="10" t="s">
        <v>194</v>
      </c>
      <c r="M27" s="26">
        <v>180</v>
      </c>
      <c r="N27" s="26">
        <v>350</v>
      </c>
      <c r="O27" s="11">
        <f t="shared" si="8"/>
        <v>0.48571428571428571</v>
      </c>
      <c r="P27" s="12"/>
      <c r="Q27" s="13" t="s">
        <v>496</v>
      </c>
      <c r="R27" s="12"/>
      <c r="S27" s="13" t="str">
        <f t="shared" si="9"/>
        <v>Robu search</v>
      </c>
      <c r="T27" s="12"/>
      <c r="U27" s="13" t="s">
        <v>497</v>
      </c>
      <c r="V27" s="12"/>
      <c r="W27" s="13" t="str">
        <f t="shared" si="2"/>
        <v>LCSC search</v>
      </c>
      <c r="X27" s="12"/>
      <c r="Y27" s="13" t="str">
        <f t="shared" si="3"/>
        <v>Mouser search</v>
      </c>
      <c r="Z27" s="12"/>
      <c r="AA27" s="13" t="str">
        <f t="shared" si="4"/>
        <v>DigiKey search</v>
      </c>
      <c r="AB27" s="9"/>
      <c r="AC27" s="9">
        <f>Inputs_Assumptions!$B$7</f>
        <v>150</v>
      </c>
      <c r="AD27" s="9">
        <f>Inputs_Assumptions!$B$7</f>
        <v>150</v>
      </c>
      <c r="AE27" s="11">
        <f>Inputs_Assumptions!$B$5</f>
        <v>0.1</v>
      </c>
      <c r="AF27" s="11">
        <f>Inputs_Assumptions!$B$6</f>
        <v>0.18</v>
      </c>
      <c r="AG27" s="14">
        <f>Inputs_Assumptions!$B$4</f>
        <v>83</v>
      </c>
      <c r="AH27" s="12"/>
      <c r="AI27" s="15"/>
      <c r="AJ27" s="16">
        <f t="shared" si="5"/>
        <v>389.4</v>
      </c>
      <c r="AK27" s="11">
        <f>Inputs_Assumptions!$B$9</f>
        <v>0.35</v>
      </c>
      <c r="AL27" s="16">
        <f t="shared" si="6"/>
        <v>599.07692307692298</v>
      </c>
      <c r="AM27" s="11">
        <f>Inputs_Assumptions!$B$8</f>
        <v>0.18</v>
      </c>
      <c r="AN27" s="11" t="str">
        <f t="shared" si="7"/>
        <v/>
      </c>
      <c r="AO27" s="17" t="s">
        <v>168</v>
      </c>
      <c r="AP27" s="17">
        <v>15</v>
      </c>
      <c r="AQ27" s="17">
        <v>15</v>
      </c>
      <c r="AR27" s="17">
        <v>30</v>
      </c>
      <c r="AS27" s="17">
        <v>4</v>
      </c>
      <c r="AT27" s="10"/>
      <c r="AU27" s="9"/>
      <c r="AV27" s="10"/>
      <c r="AW27" t="s">
        <v>8</v>
      </c>
      <c r="AX27" t="s">
        <v>140</v>
      </c>
      <c r="BH27" t="s">
        <v>140</v>
      </c>
      <c r="BV27" s="9" t="s">
        <v>498</v>
      </c>
      <c r="BW27" s="9" t="s">
        <v>210</v>
      </c>
      <c r="BX27" s="9" t="s">
        <v>310</v>
      </c>
      <c r="BY27" s="9" t="s">
        <v>499</v>
      </c>
      <c r="BZ27" s="9" t="s">
        <v>312</v>
      </c>
      <c r="CA27" s="9" t="s">
        <v>146</v>
      </c>
      <c r="CB27" s="9" t="s">
        <v>147</v>
      </c>
      <c r="CC27" s="9" t="s">
        <v>148</v>
      </c>
      <c r="CD27" s="9"/>
      <c r="CE27" s="9" t="s">
        <v>149</v>
      </c>
      <c r="CF27" s="9"/>
      <c r="CG27" s="9"/>
      <c r="CH27" s="9" t="s">
        <v>150</v>
      </c>
      <c r="CI27" s="9" t="s">
        <v>150</v>
      </c>
      <c r="CJ27" s="9">
        <v>7</v>
      </c>
      <c r="CK27" s="9" t="s">
        <v>313</v>
      </c>
      <c r="CL27" s="9" t="s">
        <v>152</v>
      </c>
      <c r="CM27" s="9" t="s">
        <v>314</v>
      </c>
      <c r="CN27" s="9" t="s">
        <v>154</v>
      </c>
      <c r="CO27" s="9" t="s">
        <v>150</v>
      </c>
      <c r="CP27" s="9"/>
      <c r="CQ27" s="9"/>
      <c r="CR27" s="9" t="s">
        <v>155</v>
      </c>
      <c r="CS27" s="9" t="s">
        <v>500</v>
      </c>
      <c r="CT27" t="s">
        <v>173</v>
      </c>
      <c r="CU27">
        <v>28.2</v>
      </c>
      <c r="CV27" t="s">
        <v>501</v>
      </c>
    </row>
    <row r="28" spans="1:100" ht="45" hidden="1" customHeight="1" x14ac:dyDescent="0.3">
      <c r="A28" s="9" t="s">
        <v>502</v>
      </c>
      <c r="B28" s="9" t="s">
        <v>489</v>
      </c>
      <c r="C28" s="9" t="s">
        <v>490</v>
      </c>
      <c r="D28" s="10" t="s">
        <v>503</v>
      </c>
      <c r="E28" s="9" t="s">
        <v>492</v>
      </c>
      <c r="F28" s="9" t="s">
        <v>504</v>
      </c>
      <c r="G28" s="10"/>
      <c r="H28" s="10" t="s">
        <v>505</v>
      </c>
      <c r="I28" s="10" t="s">
        <v>506</v>
      </c>
      <c r="J28" s="10" t="s">
        <v>495</v>
      </c>
      <c r="K28" s="9" t="s">
        <v>194</v>
      </c>
      <c r="L28" s="10" t="s">
        <v>194</v>
      </c>
      <c r="M28" s="26">
        <v>700</v>
      </c>
      <c r="N28" s="26">
        <v>1200</v>
      </c>
      <c r="O28" s="11">
        <f t="shared" si="8"/>
        <v>0.41666666666666669</v>
      </c>
      <c r="P28" s="12"/>
      <c r="Q28" s="13" t="s">
        <v>507</v>
      </c>
      <c r="R28" s="12"/>
      <c r="S28" s="13" t="str">
        <f t="shared" si="9"/>
        <v>Robu search</v>
      </c>
      <c r="T28" s="12"/>
      <c r="U28" s="13" t="s">
        <v>508</v>
      </c>
      <c r="V28" s="12"/>
      <c r="W28" s="13" t="str">
        <f t="shared" si="2"/>
        <v>LCSC search</v>
      </c>
      <c r="X28" s="12"/>
      <c r="Y28" s="13" t="str">
        <f t="shared" si="3"/>
        <v>Mouser search</v>
      </c>
      <c r="Z28" s="12"/>
      <c r="AA28" s="13" t="str">
        <f t="shared" si="4"/>
        <v>DigiKey search</v>
      </c>
      <c r="AB28" s="9"/>
      <c r="AC28" s="9">
        <f>Inputs_Assumptions!$B$7</f>
        <v>150</v>
      </c>
      <c r="AD28" s="9">
        <f>Inputs_Assumptions!$B$7</f>
        <v>150</v>
      </c>
      <c r="AE28" s="11">
        <f>Inputs_Assumptions!$B$5</f>
        <v>0.1</v>
      </c>
      <c r="AF28" s="11">
        <f>Inputs_Assumptions!$B$6</f>
        <v>0.18</v>
      </c>
      <c r="AG28" s="14">
        <f>Inputs_Assumptions!$B$4</f>
        <v>83</v>
      </c>
      <c r="AH28" s="12"/>
      <c r="AI28" s="15"/>
      <c r="AJ28" s="16">
        <f t="shared" si="5"/>
        <v>1003</v>
      </c>
      <c r="AK28" s="11">
        <f>Inputs_Assumptions!$B$9</f>
        <v>0.35</v>
      </c>
      <c r="AL28" s="16">
        <f t="shared" si="6"/>
        <v>1543.0769230769231</v>
      </c>
      <c r="AM28" s="11">
        <f>Inputs_Assumptions!$B$8</f>
        <v>0.18</v>
      </c>
      <c r="AN28" s="11" t="str">
        <f t="shared" si="7"/>
        <v/>
      </c>
      <c r="AO28" s="17" t="s">
        <v>168</v>
      </c>
      <c r="AP28" s="17">
        <v>6</v>
      </c>
      <c r="AQ28" s="17">
        <v>6</v>
      </c>
      <c r="AR28" s="17">
        <v>12</v>
      </c>
      <c r="AS28" s="17">
        <v>2</v>
      </c>
      <c r="AT28" s="10"/>
      <c r="AU28" s="9"/>
      <c r="AV28" s="10"/>
      <c r="AW28" t="s">
        <v>8</v>
      </c>
      <c r="AX28" t="s">
        <v>140</v>
      </c>
      <c r="BH28" t="s">
        <v>140</v>
      </c>
      <c r="BV28" s="9" t="s">
        <v>509</v>
      </c>
      <c r="BW28" s="9" t="s">
        <v>210</v>
      </c>
      <c r="BX28" s="9" t="s">
        <v>310</v>
      </c>
      <c r="BY28" s="9" t="s">
        <v>510</v>
      </c>
      <c r="BZ28" s="9" t="s">
        <v>312</v>
      </c>
      <c r="CA28" s="9" t="s">
        <v>146</v>
      </c>
      <c r="CB28" s="9" t="s">
        <v>147</v>
      </c>
      <c r="CC28" s="9" t="s">
        <v>148</v>
      </c>
      <c r="CD28" s="9"/>
      <c r="CE28" s="9" t="s">
        <v>149</v>
      </c>
      <c r="CF28" s="9"/>
      <c r="CG28" s="9"/>
      <c r="CH28" s="9" t="s">
        <v>150</v>
      </c>
      <c r="CI28" s="9" t="s">
        <v>150</v>
      </c>
      <c r="CJ28" s="9">
        <v>7</v>
      </c>
      <c r="CK28" s="9" t="s">
        <v>313</v>
      </c>
      <c r="CL28" s="9" t="s">
        <v>152</v>
      </c>
      <c r="CM28" s="9" t="s">
        <v>314</v>
      </c>
      <c r="CN28" s="9" t="s">
        <v>154</v>
      </c>
      <c r="CO28" s="9" t="s">
        <v>150</v>
      </c>
      <c r="CP28" s="9"/>
      <c r="CQ28" s="9"/>
      <c r="CR28" s="9" t="s">
        <v>155</v>
      </c>
      <c r="CS28" s="9" t="s">
        <v>511</v>
      </c>
      <c r="CT28" t="s">
        <v>173</v>
      </c>
      <c r="CU28">
        <v>24.2</v>
      </c>
      <c r="CV28" t="s">
        <v>512</v>
      </c>
    </row>
    <row r="29" spans="1:100" ht="45" hidden="1" customHeight="1" x14ac:dyDescent="0.3">
      <c r="A29" s="9" t="s">
        <v>513</v>
      </c>
      <c r="B29" s="9" t="s">
        <v>489</v>
      </c>
      <c r="C29" s="9" t="s">
        <v>490</v>
      </c>
      <c r="D29" s="10" t="s">
        <v>514</v>
      </c>
      <c r="E29" s="9" t="s">
        <v>515</v>
      </c>
      <c r="F29" s="9" t="s">
        <v>516</v>
      </c>
      <c r="G29" s="10" t="s">
        <v>517</v>
      </c>
      <c r="H29" s="10" t="s">
        <v>518</v>
      </c>
      <c r="I29" s="10" t="s">
        <v>519</v>
      </c>
      <c r="J29" s="10" t="s">
        <v>520</v>
      </c>
      <c r="K29" s="9" t="s">
        <v>165</v>
      </c>
      <c r="L29" s="10" t="s">
        <v>165</v>
      </c>
      <c r="M29" s="26">
        <v>850</v>
      </c>
      <c r="N29" s="26">
        <v>1500</v>
      </c>
      <c r="O29" s="11">
        <f t="shared" si="8"/>
        <v>0.43333333333333335</v>
      </c>
      <c r="P29" s="12"/>
      <c r="Q29" s="13" t="s">
        <v>521</v>
      </c>
      <c r="R29" s="12"/>
      <c r="S29" s="13" t="str">
        <f t="shared" si="9"/>
        <v>Robu search</v>
      </c>
      <c r="T29" s="12"/>
      <c r="U29" s="13" t="s">
        <v>522</v>
      </c>
      <c r="V29" s="12"/>
      <c r="W29" s="13" t="str">
        <f t="shared" si="2"/>
        <v>LCSC search</v>
      </c>
      <c r="X29" s="12"/>
      <c r="Y29" s="13" t="str">
        <f t="shared" si="3"/>
        <v>Mouser search</v>
      </c>
      <c r="Z29" s="12"/>
      <c r="AA29" s="13" t="str">
        <f t="shared" si="4"/>
        <v>DigiKey search</v>
      </c>
      <c r="AB29" s="9"/>
      <c r="AC29" s="9">
        <f>Inputs_Assumptions!$B$7</f>
        <v>150</v>
      </c>
      <c r="AD29" s="9">
        <f>Inputs_Assumptions!$B$7</f>
        <v>150</v>
      </c>
      <c r="AE29" s="11">
        <f>Inputs_Assumptions!$B$5</f>
        <v>0.1</v>
      </c>
      <c r="AF29" s="11">
        <f>Inputs_Assumptions!$B$6</f>
        <v>0.18</v>
      </c>
      <c r="AG29" s="14">
        <f>Inputs_Assumptions!$B$4</f>
        <v>83</v>
      </c>
      <c r="AH29" s="12"/>
      <c r="AI29" s="15"/>
      <c r="AJ29" s="16">
        <f t="shared" si="5"/>
        <v>1180</v>
      </c>
      <c r="AK29" s="11">
        <f>Inputs_Assumptions!$B$9</f>
        <v>0.35</v>
      </c>
      <c r="AL29" s="16">
        <f t="shared" si="6"/>
        <v>1815.3846153846152</v>
      </c>
      <c r="AM29" s="11">
        <f>Inputs_Assumptions!$B$8</f>
        <v>0.18</v>
      </c>
      <c r="AN29" s="11" t="str">
        <f t="shared" si="7"/>
        <v/>
      </c>
      <c r="AO29" s="17" t="s">
        <v>268</v>
      </c>
      <c r="AP29" s="17">
        <v>6</v>
      </c>
      <c r="AQ29" s="17">
        <v>6</v>
      </c>
      <c r="AR29" s="17">
        <v>12</v>
      </c>
      <c r="AS29" s="17">
        <v>2</v>
      </c>
      <c r="AT29" s="10"/>
      <c r="AU29" s="9"/>
      <c r="AV29" s="10"/>
      <c r="AW29" t="s">
        <v>8</v>
      </c>
      <c r="AX29" t="s">
        <v>140</v>
      </c>
      <c r="BH29" t="s">
        <v>140</v>
      </c>
      <c r="BV29" s="9" t="s">
        <v>523</v>
      </c>
      <c r="BW29" s="9" t="s">
        <v>210</v>
      </c>
      <c r="BX29" s="9" t="s">
        <v>524</v>
      </c>
      <c r="BY29" s="9" t="s">
        <v>525</v>
      </c>
      <c r="BZ29" s="9" t="s">
        <v>526</v>
      </c>
      <c r="CA29" s="9" t="s">
        <v>146</v>
      </c>
      <c r="CB29" s="9" t="s">
        <v>147</v>
      </c>
      <c r="CC29" s="9" t="s">
        <v>148</v>
      </c>
      <c r="CD29" s="9"/>
      <c r="CE29" s="9" t="s">
        <v>149</v>
      </c>
      <c r="CF29" s="9"/>
      <c r="CG29" s="9"/>
      <c r="CH29" s="9" t="s">
        <v>150</v>
      </c>
      <c r="CI29" s="9" t="s">
        <v>150</v>
      </c>
      <c r="CJ29" s="9">
        <v>7</v>
      </c>
      <c r="CK29" s="9" t="s">
        <v>313</v>
      </c>
      <c r="CL29" s="9" t="s">
        <v>152</v>
      </c>
      <c r="CM29" s="9" t="s">
        <v>314</v>
      </c>
      <c r="CN29" s="9" t="s">
        <v>154</v>
      </c>
      <c r="CO29" s="9" t="s">
        <v>150</v>
      </c>
      <c r="CP29" s="9"/>
      <c r="CQ29" s="9"/>
      <c r="CR29" s="9" t="s">
        <v>155</v>
      </c>
      <c r="CS29" s="9" t="s">
        <v>527</v>
      </c>
      <c r="CT29" t="s">
        <v>272</v>
      </c>
      <c r="CU29">
        <v>18</v>
      </c>
      <c r="CV29" t="s">
        <v>528</v>
      </c>
    </row>
    <row r="30" spans="1:100" ht="45" hidden="1" customHeight="1" x14ac:dyDescent="0.3">
      <c r="A30" s="9" t="s">
        <v>529</v>
      </c>
      <c r="B30" s="9" t="s">
        <v>489</v>
      </c>
      <c r="C30" s="9" t="s">
        <v>490</v>
      </c>
      <c r="D30" s="10" t="s">
        <v>530</v>
      </c>
      <c r="E30" s="9" t="s">
        <v>492</v>
      </c>
      <c r="F30" s="9" t="s">
        <v>530</v>
      </c>
      <c r="G30" s="10"/>
      <c r="H30" s="10" t="s">
        <v>531</v>
      </c>
      <c r="I30" s="10" t="s">
        <v>532</v>
      </c>
      <c r="J30" s="10" t="s">
        <v>533</v>
      </c>
      <c r="K30" s="9" t="s">
        <v>194</v>
      </c>
      <c r="L30" s="10" t="s">
        <v>194</v>
      </c>
      <c r="M30" s="26">
        <v>350</v>
      </c>
      <c r="N30" s="26">
        <v>700</v>
      </c>
      <c r="O30" s="11">
        <f t="shared" si="8"/>
        <v>0.5</v>
      </c>
      <c r="P30" s="12"/>
      <c r="Q30" s="13" t="s">
        <v>534</v>
      </c>
      <c r="R30" s="12"/>
      <c r="S30" s="13" t="str">
        <f t="shared" si="9"/>
        <v>Robu search</v>
      </c>
      <c r="T30" s="12"/>
      <c r="U30" s="13" t="s">
        <v>535</v>
      </c>
      <c r="V30" s="12"/>
      <c r="W30" s="13" t="str">
        <f t="shared" si="2"/>
        <v>LCSC search</v>
      </c>
      <c r="X30" s="12"/>
      <c r="Y30" s="13" t="str">
        <f t="shared" si="3"/>
        <v>Mouser search</v>
      </c>
      <c r="Z30" s="12"/>
      <c r="AA30" s="13" t="str">
        <f t="shared" si="4"/>
        <v>DigiKey search</v>
      </c>
      <c r="AB30" s="9"/>
      <c r="AC30" s="9">
        <f>Inputs_Assumptions!$B$7</f>
        <v>150</v>
      </c>
      <c r="AD30" s="9">
        <f>Inputs_Assumptions!$B$7</f>
        <v>150</v>
      </c>
      <c r="AE30" s="11">
        <f>Inputs_Assumptions!$B$5</f>
        <v>0.1</v>
      </c>
      <c r="AF30" s="11">
        <f>Inputs_Assumptions!$B$6</f>
        <v>0.18</v>
      </c>
      <c r="AG30" s="14">
        <f>Inputs_Assumptions!$B$4</f>
        <v>83</v>
      </c>
      <c r="AH30" s="12"/>
      <c r="AI30" s="15"/>
      <c r="AJ30" s="16">
        <f t="shared" si="5"/>
        <v>590</v>
      </c>
      <c r="AK30" s="11">
        <f>Inputs_Assumptions!$B$9</f>
        <v>0.35</v>
      </c>
      <c r="AL30" s="16">
        <f t="shared" si="6"/>
        <v>907.69230769230762</v>
      </c>
      <c r="AM30" s="11">
        <f>Inputs_Assumptions!$B$8</f>
        <v>0.18</v>
      </c>
      <c r="AN30" s="11" t="str">
        <f t="shared" si="7"/>
        <v/>
      </c>
      <c r="AO30" s="17" t="s">
        <v>168</v>
      </c>
      <c r="AP30" s="17">
        <v>10</v>
      </c>
      <c r="AQ30" s="17">
        <v>10</v>
      </c>
      <c r="AR30" s="17">
        <v>20</v>
      </c>
      <c r="AS30" s="17">
        <v>3</v>
      </c>
      <c r="AT30" s="10"/>
      <c r="AU30" s="9"/>
      <c r="AV30" s="10"/>
      <c r="AW30" t="s">
        <v>8</v>
      </c>
      <c r="AX30" t="s">
        <v>140</v>
      </c>
      <c r="BH30" t="s">
        <v>140</v>
      </c>
      <c r="BV30" s="9" t="s">
        <v>536</v>
      </c>
      <c r="BW30" s="9" t="s">
        <v>210</v>
      </c>
      <c r="BX30" s="9" t="s">
        <v>310</v>
      </c>
      <c r="BY30" s="9" t="s">
        <v>537</v>
      </c>
      <c r="BZ30" s="9" t="s">
        <v>312</v>
      </c>
      <c r="CA30" s="9" t="s">
        <v>146</v>
      </c>
      <c r="CB30" s="9" t="s">
        <v>147</v>
      </c>
      <c r="CC30" s="9" t="s">
        <v>148</v>
      </c>
      <c r="CD30" s="9"/>
      <c r="CE30" s="9" t="s">
        <v>149</v>
      </c>
      <c r="CF30" s="9"/>
      <c r="CG30" s="9"/>
      <c r="CH30" s="9" t="s">
        <v>150</v>
      </c>
      <c r="CI30" s="9" t="s">
        <v>150</v>
      </c>
      <c r="CJ30" s="9">
        <v>7</v>
      </c>
      <c r="CK30" s="9" t="s">
        <v>313</v>
      </c>
      <c r="CL30" s="9" t="s">
        <v>152</v>
      </c>
      <c r="CM30" s="9" t="s">
        <v>314</v>
      </c>
      <c r="CN30" s="9" t="s">
        <v>154</v>
      </c>
      <c r="CO30" s="9" t="s">
        <v>150</v>
      </c>
      <c r="CP30" s="9"/>
      <c r="CQ30" s="9"/>
      <c r="CR30" s="9" t="s">
        <v>155</v>
      </c>
      <c r="CS30" s="9" t="s">
        <v>538</v>
      </c>
      <c r="CT30" t="s">
        <v>173</v>
      </c>
      <c r="CU30">
        <v>26.2</v>
      </c>
      <c r="CV30" t="s">
        <v>539</v>
      </c>
    </row>
    <row r="31" spans="1:100" ht="45" hidden="1" customHeight="1" x14ac:dyDescent="0.3">
      <c r="A31" s="9" t="s">
        <v>540</v>
      </c>
      <c r="B31" s="9" t="s">
        <v>489</v>
      </c>
      <c r="C31" s="9" t="s">
        <v>490</v>
      </c>
      <c r="D31" s="10" t="s">
        <v>541</v>
      </c>
      <c r="E31" s="9" t="s">
        <v>515</v>
      </c>
      <c r="F31" s="9" t="s">
        <v>542</v>
      </c>
      <c r="G31" s="10"/>
      <c r="H31" s="10" t="s">
        <v>543</v>
      </c>
      <c r="I31" s="10" t="s">
        <v>544</v>
      </c>
      <c r="J31" s="10" t="s">
        <v>545</v>
      </c>
      <c r="K31" s="9" t="s">
        <v>194</v>
      </c>
      <c r="L31" s="10" t="s">
        <v>194</v>
      </c>
      <c r="M31" s="26">
        <v>550</v>
      </c>
      <c r="N31" s="26">
        <v>950</v>
      </c>
      <c r="O31" s="11">
        <f t="shared" si="8"/>
        <v>0.42105263157894735</v>
      </c>
      <c r="P31" s="12"/>
      <c r="Q31" s="13" t="s">
        <v>546</v>
      </c>
      <c r="R31" s="12"/>
      <c r="S31" s="13" t="str">
        <f t="shared" si="9"/>
        <v>Robu search</v>
      </c>
      <c r="T31" s="12"/>
      <c r="U31" s="13" t="s">
        <v>547</v>
      </c>
      <c r="V31" s="12"/>
      <c r="W31" s="13" t="str">
        <f t="shared" si="2"/>
        <v>LCSC search</v>
      </c>
      <c r="X31" s="12"/>
      <c r="Y31" s="13" t="str">
        <f t="shared" si="3"/>
        <v>Mouser search</v>
      </c>
      <c r="Z31" s="12"/>
      <c r="AA31" s="13" t="str">
        <f t="shared" si="4"/>
        <v>DigiKey search</v>
      </c>
      <c r="AB31" s="9"/>
      <c r="AC31" s="9">
        <f>Inputs_Assumptions!$B$7</f>
        <v>150</v>
      </c>
      <c r="AD31" s="9">
        <f>Inputs_Assumptions!$B$7</f>
        <v>150</v>
      </c>
      <c r="AE31" s="11">
        <f>Inputs_Assumptions!$B$5</f>
        <v>0.1</v>
      </c>
      <c r="AF31" s="11">
        <f>Inputs_Assumptions!$B$6</f>
        <v>0.18</v>
      </c>
      <c r="AG31" s="14">
        <f>Inputs_Assumptions!$B$4</f>
        <v>83</v>
      </c>
      <c r="AH31" s="12"/>
      <c r="AI31" s="15"/>
      <c r="AJ31" s="16">
        <f t="shared" si="5"/>
        <v>826</v>
      </c>
      <c r="AK31" s="11">
        <f>Inputs_Assumptions!$B$9</f>
        <v>0.35</v>
      </c>
      <c r="AL31" s="16">
        <f t="shared" si="6"/>
        <v>1270.7692307692307</v>
      </c>
      <c r="AM31" s="11">
        <f>Inputs_Assumptions!$B$8</f>
        <v>0.18</v>
      </c>
      <c r="AN31" s="11" t="str">
        <f t="shared" si="7"/>
        <v/>
      </c>
      <c r="AO31" s="17" t="s">
        <v>168</v>
      </c>
      <c r="AP31" s="17">
        <v>8</v>
      </c>
      <c r="AQ31" s="17">
        <v>8</v>
      </c>
      <c r="AR31" s="17">
        <v>16</v>
      </c>
      <c r="AS31" s="17">
        <v>2</v>
      </c>
      <c r="AT31" s="10"/>
      <c r="AU31" s="9"/>
      <c r="AV31" s="10"/>
      <c r="AW31" t="s">
        <v>8</v>
      </c>
      <c r="AX31" t="s">
        <v>140</v>
      </c>
      <c r="BH31" t="s">
        <v>140</v>
      </c>
      <c r="BV31" s="9" t="s">
        <v>548</v>
      </c>
      <c r="BW31" s="9" t="s">
        <v>210</v>
      </c>
      <c r="BX31" s="9" t="s">
        <v>310</v>
      </c>
      <c r="BY31" s="9" t="s">
        <v>549</v>
      </c>
      <c r="BZ31" s="9" t="s">
        <v>312</v>
      </c>
      <c r="CA31" s="9" t="s">
        <v>146</v>
      </c>
      <c r="CB31" s="9" t="s">
        <v>147</v>
      </c>
      <c r="CC31" s="9" t="s">
        <v>148</v>
      </c>
      <c r="CD31" s="9"/>
      <c r="CE31" s="9" t="s">
        <v>149</v>
      </c>
      <c r="CF31" s="9"/>
      <c r="CG31" s="9"/>
      <c r="CH31" s="9" t="s">
        <v>150</v>
      </c>
      <c r="CI31" s="9" t="s">
        <v>150</v>
      </c>
      <c r="CJ31" s="9">
        <v>7</v>
      </c>
      <c r="CK31" s="9" t="s">
        <v>313</v>
      </c>
      <c r="CL31" s="9" t="s">
        <v>152</v>
      </c>
      <c r="CM31" s="9" t="s">
        <v>314</v>
      </c>
      <c r="CN31" s="9" t="s">
        <v>154</v>
      </c>
      <c r="CO31" s="9" t="s">
        <v>150</v>
      </c>
      <c r="CP31" s="9"/>
      <c r="CQ31" s="9"/>
      <c r="CR31" s="9" t="s">
        <v>155</v>
      </c>
      <c r="CS31" s="9" t="s">
        <v>550</v>
      </c>
      <c r="CT31" t="s">
        <v>173</v>
      </c>
      <c r="CU31">
        <v>24.2</v>
      </c>
      <c r="CV31" t="s">
        <v>551</v>
      </c>
    </row>
    <row r="32" spans="1:100" ht="45" hidden="1" customHeight="1" x14ac:dyDescent="0.3">
      <c r="A32" s="9" t="s">
        <v>552</v>
      </c>
      <c r="B32" s="9" t="s">
        <v>489</v>
      </c>
      <c r="C32" s="9" t="s">
        <v>490</v>
      </c>
      <c r="D32" s="10" t="s">
        <v>553</v>
      </c>
      <c r="E32" s="9" t="s">
        <v>515</v>
      </c>
      <c r="F32" s="9" t="s">
        <v>554</v>
      </c>
      <c r="G32" s="10"/>
      <c r="H32" s="10" t="s">
        <v>555</v>
      </c>
      <c r="I32" s="10" t="s">
        <v>556</v>
      </c>
      <c r="J32" s="10" t="s">
        <v>533</v>
      </c>
      <c r="K32" s="9" t="s">
        <v>165</v>
      </c>
      <c r="L32" s="10" t="s">
        <v>165</v>
      </c>
      <c r="M32" s="26">
        <v>950</v>
      </c>
      <c r="N32" s="26">
        <v>1600</v>
      </c>
      <c r="O32" s="11">
        <f t="shared" si="8"/>
        <v>0.40625</v>
      </c>
      <c r="P32" s="12"/>
      <c r="Q32" s="13" t="str">
        <f t="shared" ref="Q32:Q72" si="10">HYPERLINK("https://www.amazon.in/s?k="&amp;SUBSTITUTE($D32," ","+"),"Amazon search")</f>
        <v>Amazon search</v>
      </c>
      <c r="R32" s="12"/>
      <c r="S32" s="13" t="str">
        <f t="shared" si="9"/>
        <v>Robu search</v>
      </c>
      <c r="T32" s="12"/>
      <c r="U32" s="13" t="str">
        <f t="shared" ref="U32:U72" si="11">HYPERLINK("https://www.alibaba.com/trade/search?SearchText="&amp;SUBSTITUTE($D32," ","+"),"Alibaba search")</f>
        <v>Alibaba search</v>
      </c>
      <c r="V32" s="12"/>
      <c r="W32" s="13" t="str">
        <f t="shared" si="2"/>
        <v>LCSC search</v>
      </c>
      <c r="X32" s="12"/>
      <c r="Y32" s="13" t="str">
        <f t="shared" si="3"/>
        <v>Mouser search</v>
      </c>
      <c r="Z32" s="12"/>
      <c r="AA32" s="13" t="str">
        <f t="shared" si="4"/>
        <v>DigiKey search</v>
      </c>
      <c r="AB32" s="9"/>
      <c r="AC32" s="9">
        <f>Inputs_Assumptions!$B$7</f>
        <v>150</v>
      </c>
      <c r="AD32" s="9">
        <f>Inputs_Assumptions!$B$7</f>
        <v>150</v>
      </c>
      <c r="AE32" s="11">
        <f>Inputs_Assumptions!$B$5</f>
        <v>0.1</v>
      </c>
      <c r="AF32" s="11">
        <f>Inputs_Assumptions!$B$6</f>
        <v>0.18</v>
      </c>
      <c r="AG32" s="14">
        <f>Inputs_Assumptions!$B$4</f>
        <v>83</v>
      </c>
      <c r="AH32" s="12"/>
      <c r="AI32" s="15"/>
      <c r="AJ32" s="16">
        <f t="shared" si="5"/>
        <v>1298</v>
      </c>
      <c r="AK32" s="11">
        <f>Inputs_Assumptions!$B$9</f>
        <v>0.35</v>
      </c>
      <c r="AL32" s="16">
        <f t="shared" si="6"/>
        <v>1996.9230769230769</v>
      </c>
      <c r="AM32" s="11">
        <f>Inputs_Assumptions!$B$8</f>
        <v>0.18</v>
      </c>
      <c r="AN32" s="11" t="str">
        <f t="shared" si="7"/>
        <v/>
      </c>
      <c r="AO32" s="17" t="s">
        <v>268</v>
      </c>
      <c r="AP32" s="17"/>
      <c r="AQ32" s="17">
        <v>6</v>
      </c>
      <c r="AR32" s="17">
        <v>12</v>
      </c>
      <c r="AS32" s="17">
        <v>2</v>
      </c>
      <c r="AT32" s="10"/>
      <c r="AU32" s="9"/>
      <c r="AV32" s="10"/>
      <c r="AW32" t="s">
        <v>8</v>
      </c>
      <c r="BV32" s="9" t="s">
        <v>484</v>
      </c>
      <c r="BW32" s="9" t="s">
        <v>210</v>
      </c>
      <c r="BX32" s="9" t="s">
        <v>310</v>
      </c>
      <c r="BY32" s="9" t="s">
        <v>557</v>
      </c>
      <c r="BZ32" s="9" t="s">
        <v>312</v>
      </c>
      <c r="CA32" s="9" t="s">
        <v>146</v>
      </c>
      <c r="CB32" s="9" t="s">
        <v>147</v>
      </c>
      <c r="CC32" s="9" t="s">
        <v>148</v>
      </c>
      <c r="CD32" s="9"/>
      <c r="CE32" s="9" t="s">
        <v>149</v>
      </c>
      <c r="CF32" s="9"/>
      <c r="CG32" s="9"/>
      <c r="CH32" s="9" t="s">
        <v>150</v>
      </c>
      <c r="CI32" s="9" t="s">
        <v>150</v>
      </c>
      <c r="CJ32" s="9">
        <v>7</v>
      </c>
      <c r="CK32" s="9" t="s">
        <v>313</v>
      </c>
      <c r="CL32" s="9" t="s">
        <v>152</v>
      </c>
      <c r="CM32" s="9" t="s">
        <v>314</v>
      </c>
      <c r="CN32" s="9" t="s">
        <v>154</v>
      </c>
      <c r="CO32" s="9" t="s">
        <v>150</v>
      </c>
      <c r="CP32" s="9"/>
      <c r="CQ32" s="9"/>
      <c r="CR32" s="9" t="s">
        <v>155</v>
      </c>
      <c r="CS32" s="9" t="s">
        <v>558</v>
      </c>
      <c r="CT32" t="s">
        <v>272</v>
      </c>
      <c r="CU32">
        <v>18</v>
      </c>
      <c r="CV32" t="s">
        <v>559</v>
      </c>
    </row>
    <row r="33" spans="1:100" ht="45" hidden="1" customHeight="1" x14ac:dyDescent="0.3">
      <c r="A33" s="9" t="s">
        <v>560</v>
      </c>
      <c r="B33" s="9" t="s">
        <v>561</v>
      </c>
      <c r="C33" s="9" t="s">
        <v>490</v>
      </c>
      <c r="D33" s="10" t="s">
        <v>562</v>
      </c>
      <c r="E33" s="9" t="s">
        <v>563</v>
      </c>
      <c r="F33" s="9" t="s">
        <v>564</v>
      </c>
      <c r="G33" s="10" t="s">
        <v>565</v>
      </c>
      <c r="H33" s="10" t="s">
        <v>566</v>
      </c>
      <c r="I33" s="10" t="s">
        <v>567</v>
      </c>
      <c r="J33" s="10" t="s">
        <v>568</v>
      </c>
      <c r="K33" s="9" t="s">
        <v>194</v>
      </c>
      <c r="L33" s="10" t="s">
        <v>194</v>
      </c>
      <c r="M33" s="26">
        <v>1649</v>
      </c>
      <c r="N33" s="26">
        <v>2540</v>
      </c>
      <c r="O33" s="27">
        <v>0.3508</v>
      </c>
      <c r="P33" s="12"/>
      <c r="Q33" s="13" t="str">
        <f t="shared" si="10"/>
        <v>Amazon search</v>
      </c>
      <c r="R33" s="28">
        <v>1649</v>
      </c>
      <c r="S33" s="13" t="s">
        <v>569</v>
      </c>
      <c r="T33" s="12"/>
      <c r="U33" s="13" t="str">
        <f t="shared" si="11"/>
        <v>Alibaba search</v>
      </c>
      <c r="V33" s="12"/>
      <c r="W33" s="13" t="str">
        <f t="shared" si="2"/>
        <v>LCSC search</v>
      </c>
      <c r="X33" s="12"/>
      <c r="Y33" s="13" t="str">
        <f t="shared" si="3"/>
        <v>Mouser search</v>
      </c>
      <c r="Z33" s="12"/>
      <c r="AA33" s="13" t="str">
        <f t="shared" si="4"/>
        <v>DigiKey search</v>
      </c>
      <c r="AB33" s="9"/>
      <c r="AC33" s="9">
        <f>Inputs_Assumptions!$B$7</f>
        <v>150</v>
      </c>
      <c r="AD33" s="9">
        <f>Inputs_Assumptions!$B$7</f>
        <v>150</v>
      </c>
      <c r="AE33" s="11">
        <f>Inputs_Assumptions!$B$5</f>
        <v>0.1</v>
      </c>
      <c r="AF33" s="11">
        <f>Inputs_Assumptions!$B$6</f>
        <v>0.18</v>
      </c>
      <c r="AG33" s="14">
        <f>Inputs_Assumptions!$B$4</f>
        <v>83</v>
      </c>
      <c r="AH33" s="12"/>
      <c r="AI33" s="15"/>
      <c r="AJ33" s="16">
        <f t="shared" si="5"/>
        <v>2122.8199999999997</v>
      </c>
      <c r="AK33" s="11">
        <f>Inputs_Assumptions!$B$9</f>
        <v>0.35</v>
      </c>
      <c r="AL33" s="16">
        <f t="shared" si="6"/>
        <v>3265.8769230769226</v>
      </c>
      <c r="AM33" s="11">
        <f>Inputs_Assumptions!$B$8</f>
        <v>0.18</v>
      </c>
      <c r="AN33" s="11" t="str">
        <f t="shared" si="7"/>
        <v/>
      </c>
      <c r="AO33" s="17" t="s">
        <v>168</v>
      </c>
      <c r="AP33" s="17">
        <v>6</v>
      </c>
      <c r="AQ33" s="17">
        <v>6</v>
      </c>
      <c r="AR33" s="17">
        <v>12</v>
      </c>
      <c r="AS33" s="17">
        <v>2</v>
      </c>
      <c r="AT33" s="10"/>
      <c r="AU33" s="29" t="s">
        <v>140</v>
      </c>
      <c r="AV33" s="10" t="s">
        <v>570</v>
      </c>
      <c r="AW33" t="s">
        <v>8</v>
      </c>
      <c r="BC33" s="30" t="s">
        <v>140</v>
      </c>
      <c r="BD33" t="s">
        <v>394</v>
      </c>
      <c r="BE33" t="s">
        <v>395</v>
      </c>
      <c r="BF33" t="s">
        <v>396</v>
      </c>
      <c r="BG33" t="s">
        <v>397</v>
      </c>
      <c r="BM33" s="31">
        <v>1649</v>
      </c>
      <c r="BN33" t="s">
        <v>398</v>
      </c>
      <c r="BO33" t="s">
        <v>569</v>
      </c>
      <c r="BP33" t="s">
        <v>394</v>
      </c>
      <c r="BQ33" t="s">
        <v>395</v>
      </c>
      <c r="BR33" t="s">
        <v>396</v>
      </c>
      <c r="BS33" t="s">
        <v>397</v>
      </c>
      <c r="BT33" s="30" t="s">
        <v>140</v>
      </c>
      <c r="BU33" t="s">
        <v>571</v>
      </c>
      <c r="BV33" s="9" t="s">
        <v>572</v>
      </c>
      <c r="BW33" s="9" t="s">
        <v>210</v>
      </c>
      <c r="BX33" s="9" t="s">
        <v>524</v>
      </c>
      <c r="BY33" s="9" t="s">
        <v>573</v>
      </c>
      <c r="BZ33" s="9" t="s">
        <v>526</v>
      </c>
      <c r="CA33" s="9" t="s">
        <v>146</v>
      </c>
      <c r="CB33" s="9" t="s">
        <v>404</v>
      </c>
      <c r="CC33" s="9" t="s">
        <v>405</v>
      </c>
      <c r="CD33" s="9" t="s">
        <v>569</v>
      </c>
      <c r="CE33" s="9" t="s">
        <v>406</v>
      </c>
      <c r="CF33" s="9"/>
      <c r="CG33" s="9"/>
      <c r="CH33" s="9" t="s">
        <v>407</v>
      </c>
      <c r="CI33" s="9" t="s">
        <v>150</v>
      </c>
      <c r="CJ33" s="9">
        <v>7</v>
      </c>
      <c r="CK33" s="9" t="s">
        <v>313</v>
      </c>
      <c r="CL33" s="9" t="s">
        <v>152</v>
      </c>
      <c r="CM33" s="9" t="s">
        <v>314</v>
      </c>
      <c r="CN33" s="9" t="s">
        <v>410</v>
      </c>
      <c r="CO33" s="9" t="s">
        <v>407</v>
      </c>
      <c r="CP33" s="9" t="s">
        <v>394</v>
      </c>
      <c r="CQ33" s="9" t="s">
        <v>574</v>
      </c>
      <c r="CR33" s="9" t="s">
        <v>155</v>
      </c>
      <c r="CS33" s="9" t="s">
        <v>575</v>
      </c>
      <c r="CT33" t="s">
        <v>173</v>
      </c>
      <c r="CU33">
        <v>25.4</v>
      </c>
      <c r="CV33" t="s">
        <v>576</v>
      </c>
    </row>
    <row r="34" spans="1:100" ht="45" hidden="1" customHeight="1" x14ac:dyDescent="0.3">
      <c r="A34" s="9" t="s">
        <v>577</v>
      </c>
      <c r="B34" s="9" t="s">
        <v>561</v>
      </c>
      <c r="C34" s="9" t="s">
        <v>490</v>
      </c>
      <c r="D34" s="10" t="s">
        <v>578</v>
      </c>
      <c r="E34" s="9" t="s">
        <v>563</v>
      </c>
      <c r="F34" s="9" t="s">
        <v>579</v>
      </c>
      <c r="G34" s="10" t="s">
        <v>580</v>
      </c>
      <c r="H34" s="10" t="s">
        <v>581</v>
      </c>
      <c r="I34" s="10" t="s">
        <v>582</v>
      </c>
      <c r="J34" s="10" t="s">
        <v>568</v>
      </c>
      <c r="K34" s="9" t="s">
        <v>165</v>
      </c>
      <c r="L34" s="10" t="s">
        <v>165</v>
      </c>
      <c r="M34" s="26">
        <v>6999</v>
      </c>
      <c r="N34" s="26">
        <v>10770</v>
      </c>
      <c r="O34" s="27">
        <v>0.35010000000000002</v>
      </c>
      <c r="P34" s="12"/>
      <c r="Q34" s="13" t="str">
        <f t="shared" si="10"/>
        <v>Amazon search</v>
      </c>
      <c r="R34" s="28">
        <v>6999</v>
      </c>
      <c r="S34" s="13" t="s">
        <v>583</v>
      </c>
      <c r="T34" s="12"/>
      <c r="U34" s="13" t="str">
        <f t="shared" si="11"/>
        <v>Alibaba search</v>
      </c>
      <c r="V34" s="12"/>
      <c r="W34" s="13" t="str">
        <f t="shared" ref="W34:W65" si="12">HYPERLINK("https://www.lcsc.com/search?q="&amp;SUBSTITUTE($D34," ","+"),"LCSC search")</f>
        <v>LCSC search</v>
      </c>
      <c r="X34" s="12"/>
      <c r="Y34" s="13" t="str">
        <f t="shared" ref="Y34:Y65" si="13">HYPERLINK("https://www.mouser.in/c/?q="&amp;SUBSTITUTE($D34," ","+"),"Mouser search")</f>
        <v>Mouser search</v>
      </c>
      <c r="Z34" s="12"/>
      <c r="AA34" s="13" t="str">
        <f t="shared" ref="AA34:AA65" si="14">HYPERLINK("https://www.digikey.in/en/products/filter?keywords="&amp;SUBSTITUTE($D34," ","+"),"DigiKey search")</f>
        <v>DigiKey search</v>
      </c>
      <c r="AB34" s="9"/>
      <c r="AC34" s="9">
        <f>Inputs_Assumptions!$B$7</f>
        <v>150</v>
      </c>
      <c r="AD34" s="9">
        <f>Inputs_Assumptions!$B$7</f>
        <v>150</v>
      </c>
      <c r="AE34" s="11">
        <f>Inputs_Assumptions!$B$5</f>
        <v>0.1</v>
      </c>
      <c r="AF34" s="11">
        <f>Inputs_Assumptions!$B$6</f>
        <v>0.18</v>
      </c>
      <c r="AG34" s="14">
        <f>Inputs_Assumptions!$B$4</f>
        <v>83</v>
      </c>
      <c r="AH34" s="12"/>
      <c r="AI34" s="15"/>
      <c r="AJ34" s="16">
        <f t="shared" ref="AJ34:AJ65" si="15">IF(AH34&lt;&gt;"",(AH34*AG34+AD34)*(1+AE34)*(1+AF34),(M34+AD34)*(1+AF34))</f>
        <v>8435.82</v>
      </c>
      <c r="AK34" s="11">
        <f>Inputs_Assumptions!$B$9</f>
        <v>0.35</v>
      </c>
      <c r="AL34" s="16">
        <f t="shared" ref="AL34:AL65" si="16">IF(AJ34&lt;&gt;"",AJ34/(1-AK34),"")</f>
        <v>12978.184615384615</v>
      </c>
      <c r="AM34" s="11">
        <f>Inputs_Assumptions!$B$8</f>
        <v>0.18</v>
      </c>
      <c r="AN34" s="11" t="str">
        <f t="shared" ref="AN34:AN65" si="17">IF(AND(P34&lt;&gt;"",AJ34&lt;&gt;"",AM34&lt;&gt;""),(P34-AJ34-P34*AM34)/P34,"")</f>
        <v/>
      </c>
      <c r="AO34" s="17" t="s">
        <v>268</v>
      </c>
      <c r="AP34" s="17"/>
      <c r="AQ34" s="17">
        <v>3</v>
      </c>
      <c r="AR34" s="17">
        <v>6</v>
      </c>
      <c r="AS34" s="17">
        <v>1</v>
      </c>
      <c r="AT34" s="10"/>
      <c r="AU34" s="29" t="s">
        <v>140</v>
      </c>
      <c r="AV34" s="10" t="s">
        <v>584</v>
      </c>
      <c r="AW34" t="s">
        <v>8</v>
      </c>
      <c r="BC34" s="30" t="s">
        <v>140</v>
      </c>
      <c r="BD34" t="s">
        <v>394</v>
      </c>
      <c r="BE34" t="s">
        <v>395</v>
      </c>
      <c r="BF34" t="s">
        <v>396</v>
      </c>
      <c r="BG34" t="s">
        <v>397</v>
      </c>
      <c r="BM34" s="31">
        <v>6999</v>
      </c>
      <c r="BN34" t="s">
        <v>398</v>
      </c>
      <c r="BO34" t="s">
        <v>583</v>
      </c>
      <c r="BP34" t="s">
        <v>394</v>
      </c>
      <c r="BQ34" t="s">
        <v>395</v>
      </c>
      <c r="BR34" t="s">
        <v>396</v>
      </c>
      <c r="BS34" t="s">
        <v>397</v>
      </c>
      <c r="BT34" s="30" t="s">
        <v>140</v>
      </c>
      <c r="BU34" t="s">
        <v>585</v>
      </c>
      <c r="BV34" s="9" t="s">
        <v>400</v>
      </c>
      <c r="BW34" s="9" t="s">
        <v>210</v>
      </c>
      <c r="BX34" s="9" t="s">
        <v>524</v>
      </c>
      <c r="BY34" s="9" t="s">
        <v>586</v>
      </c>
      <c r="BZ34" s="9" t="s">
        <v>526</v>
      </c>
      <c r="CA34" s="9" t="s">
        <v>146</v>
      </c>
      <c r="CB34" s="9" t="s">
        <v>404</v>
      </c>
      <c r="CC34" s="9" t="s">
        <v>405</v>
      </c>
      <c r="CD34" s="9" t="s">
        <v>583</v>
      </c>
      <c r="CE34" s="9" t="s">
        <v>406</v>
      </c>
      <c r="CF34" s="9"/>
      <c r="CG34" s="9"/>
      <c r="CH34" s="9" t="s">
        <v>407</v>
      </c>
      <c r="CI34" s="9" t="s">
        <v>150</v>
      </c>
      <c r="CJ34" s="9">
        <v>7</v>
      </c>
      <c r="CK34" s="9" t="s">
        <v>313</v>
      </c>
      <c r="CL34" s="9" t="s">
        <v>152</v>
      </c>
      <c r="CM34" s="9" t="s">
        <v>314</v>
      </c>
      <c r="CN34" s="9" t="s">
        <v>410</v>
      </c>
      <c r="CO34" s="9" t="s">
        <v>407</v>
      </c>
      <c r="CP34" s="9" t="s">
        <v>394</v>
      </c>
      <c r="CQ34" s="9" t="s">
        <v>587</v>
      </c>
      <c r="CR34" s="9" t="s">
        <v>155</v>
      </c>
      <c r="CS34" s="9" t="s">
        <v>588</v>
      </c>
      <c r="CT34" t="s">
        <v>272</v>
      </c>
      <c r="CU34">
        <v>17.3</v>
      </c>
      <c r="CV34" t="s">
        <v>589</v>
      </c>
    </row>
    <row r="35" spans="1:100" ht="45" hidden="1" customHeight="1" x14ac:dyDescent="0.3">
      <c r="A35" s="9" t="s">
        <v>590</v>
      </c>
      <c r="B35" s="9" t="s">
        <v>561</v>
      </c>
      <c r="C35" s="9" t="s">
        <v>490</v>
      </c>
      <c r="D35" s="10" t="s">
        <v>591</v>
      </c>
      <c r="E35" s="9" t="s">
        <v>592</v>
      </c>
      <c r="F35" s="9" t="s">
        <v>593</v>
      </c>
      <c r="G35" s="10" t="s">
        <v>517</v>
      </c>
      <c r="H35" s="10" t="s">
        <v>566</v>
      </c>
      <c r="I35" s="10" t="s">
        <v>594</v>
      </c>
      <c r="J35" s="10" t="s">
        <v>595</v>
      </c>
      <c r="K35" s="9" t="s">
        <v>194</v>
      </c>
      <c r="L35" s="10" t="s">
        <v>194</v>
      </c>
      <c r="M35" s="26">
        <v>550</v>
      </c>
      <c r="N35" s="26">
        <v>900</v>
      </c>
      <c r="O35" s="11">
        <f>IF(AND(M35&lt;&gt;"",N35&lt;&gt;""),(N35-M35)/N35,"")</f>
        <v>0.3888888888888889</v>
      </c>
      <c r="P35" s="12"/>
      <c r="Q35" s="13" t="str">
        <f t="shared" si="10"/>
        <v>Amazon search</v>
      </c>
      <c r="R35" s="12"/>
      <c r="S35" s="13" t="str">
        <f>HYPERLINK("https://robu.in/?s="&amp;SUBSTITUTE($D35," ","+")&amp;"&amp;post_type=product","Robu search")</f>
        <v>Robu search</v>
      </c>
      <c r="T35" s="12"/>
      <c r="U35" s="13" t="str">
        <f t="shared" si="11"/>
        <v>Alibaba search</v>
      </c>
      <c r="V35" s="12"/>
      <c r="W35" s="13" t="str">
        <f t="shared" si="12"/>
        <v>LCSC search</v>
      </c>
      <c r="X35" s="12"/>
      <c r="Y35" s="13" t="str">
        <f t="shared" si="13"/>
        <v>Mouser search</v>
      </c>
      <c r="Z35" s="12"/>
      <c r="AA35" s="13" t="str">
        <f t="shared" si="14"/>
        <v>DigiKey search</v>
      </c>
      <c r="AB35" s="9"/>
      <c r="AC35" s="9">
        <f>Inputs_Assumptions!$B$7</f>
        <v>150</v>
      </c>
      <c r="AD35" s="9">
        <f>Inputs_Assumptions!$B$7</f>
        <v>150</v>
      </c>
      <c r="AE35" s="11">
        <f>Inputs_Assumptions!$B$5</f>
        <v>0.1</v>
      </c>
      <c r="AF35" s="11">
        <f>Inputs_Assumptions!$B$6</f>
        <v>0.18</v>
      </c>
      <c r="AG35" s="14">
        <f>Inputs_Assumptions!$B$4</f>
        <v>83</v>
      </c>
      <c r="AH35" s="12"/>
      <c r="AI35" s="15"/>
      <c r="AJ35" s="16">
        <f t="shared" si="15"/>
        <v>826</v>
      </c>
      <c r="AK35" s="11">
        <f>Inputs_Assumptions!$B$9</f>
        <v>0.35</v>
      </c>
      <c r="AL35" s="16">
        <f t="shared" si="16"/>
        <v>1270.7692307692307</v>
      </c>
      <c r="AM35" s="11">
        <f>Inputs_Assumptions!$B$8</f>
        <v>0.18</v>
      </c>
      <c r="AN35" s="11" t="str">
        <f t="shared" si="17"/>
        <v/>
      </c>
      <c r="AO35" s="17" t="s">
        <v>168</v>
      </c>
      <c r="AP35" s="17">
        <v>6</v>
      </c>
      <c r="AQ35" s="17">
        <v>6</v>
      </c>
      <c r="AR35" s="17">
        <v>12</v>
      </c>
      <c r="AS35" s="17">
        <v>2</v>
      </c>
      <c r="AT35" s="10"/>
      <c r="AU35" s="9"/>
      <c r="AV35" s="10"/>
      <c r="AW35" t="s">
        <v>8</v>
      </c>
      <c r="BV35" s="9" t="s">
        <v>596</v>
      </c>
      <c r="BW35" s="9" t="s">
        <v>210</v>
      </c>
      <c r="BX35" s="9" t="s">
        <v>524</v>
      </c>
      <c r="BY35" s="9" t="s">
        <v>597</v>
      </c>
      <c r="BZ35" s="9" t="s">
        <v>526</v>
      </c>
      <c r="CA35" s="9" t="s">
        <v>146</v>
      </c>
      <c r="CB35" s="9" t="s">
        <v>147</v>
      </c>
      <c r="CC35" s="9" t="s">
        <v>148</v>
      </c>
      <c r="CD35" s="9"/>
      <c r="CE35" s="9" t="s">
        <v>149</v>
      </c>
      <c r="CF35" s="9"/>
      <c r="CG35" s="9"/>
      <c r="CH35" s="9" t="s">
        <v>150</v>
      </c>
      <c r="CI35" s="9" t="s">
        <v>150</v>
      </c>
      <c r="CJ35" s="9">
        <v>7</v>
      </c>
      <c r="CK35" s="9" t="s">
        <v>313</v>
      </c>
      <c r="CL35" s="9" t="s">
        <v>152</v>
      </c>
      <c r="CM35" s="9" t="s">
        <v>314</v>
      </c>
      <c r="CN35" s="9" t="s">
        <v>154</v>
      </c>
      <c r="CO35" s="9" t="s">
        <v>150</v>
      </c>
      <c r="CP35" s="9"/>
      <c r="CQ35" s="9"/>
      <c r="CR35" s="9" t="s">
        <v>155</v>
      </c>
      <c r="CS35" s="9" t="s">
        <v>598</v>
      </c>
      <c r="CT35" t="s">
        <v>173</v>
      </c>
      <c r="CU35">
        <v>25.2</v>
      </c>
      <c r="CV35" t="s">
        <v>599</v>
      </c>
    </row>
    <row r="36" spans="1:100" ht="45" hidden="1" customHeight="1" x14ac:dyDescent="0.3">
      <c r="A36" s="9" t="s">
        <v>600</v>
      </c>
      <c r="B36" s="9" t="s">
        <v>561</v>
      </c>
      <c r="C36" s="9" t="s">
        <v>490</v>
      </c>
      <c r="D36" s="10" t="s">
        <v>601</v>
      </c>
      <c r="E36" s="9" t="s">
        <v>592</v>
      </c>
      <c r="F36" s="9" t="s">
        <v>602</v>
      </c>
      <c r="G36" s="10" t="s">
        <v>603</v>
      </c>
      <c r="H36" s="10" t="s">
        <v>604</v>
      </c>
      <c r="I36" s="10" t="s">
        <v>605</v>
      </c>
      <c r="J36" s="10" t="s">
        <v>595</v>
      </c>
      <c r="K36" s="9" t="s">
        <v>194</v>
      </c>
      <c r="L36" s="10" t="s">
        <v>194</v>
      </c>
      <c r="M36" s="26">
        <v>120</v>
      </c>
      <c r="N36" s="26">
        <v>250</v>
      </c>
      <c r="O36" s="11">
        <f>IF(AND(M36&lt;&gt;"",N36&lt;&gt;""),(N36-M36)/N36,"")</f>
        <v>0.52</v>
      </c>
      <c r="P36" s="12"/>
      <c r="Q36" s="13" t="str">
        <f t="shared" si="10"/>
        <v>Amazon search</v>
      </c>
      <c r="R36" s="12"/>
      <c r="S36" s="13" t="str">
        <f>HYPERLINK("https://robu.in/?s="&amp;SUBSTITUTE($D36," ","+")&amp;"&amp;post_type=product","Robu search")</f>
        <v>Robu search</v>
      </c>
      <c r="T36" s="12"/>
      <c r="U36" s="13" t="str">
        <f t="shared" si="11"/>
        <v>Alibaba search</v>
      </c>
      <c r="V36" s="12"/>
      <c r="W36" s="13" t="str">
        <f t="shared" si="12"/>
        <v>LCSC search</v>
      </c>
      <c r="X36" s="12"/>
      <c r="Y36" s="13" t="str">
        <f t="shared" si="13"/>
        <v>Mouser search</v>
      </c>
      <c r="Z36" s="12"/>
      <c r="AA36" s="13" t="str">
        <f t="shared" si="14"/>
        <v>DigiKey search</v>
      </c>
      <c r="AB36" s="9"/>
      <c r="AC36" s="9">
        <f>Inputs_Assumptions!$B$7</f>
        <v>150</v>
      </c>
      <c r="AD36" s="9">
        <f>Inputs_Assumptions!$B$7</f>
        <v>150</v>
      </c>
      <c r="AE36" s="11">
        <f>Inputs_Assumptions!$B$5</f>
        <v>0.1</v>
      </c>
      <c r="AF36" s="11">
        <f>Inputs_Assumptions!$B$6</f>
        <v>0.18</v>
      </c>
      <c r="AG36" s="14">
        <f>Inputs_Assumptions!$B$4</f>
        <v>83</v>
      </c>
      <c r="AH36" s="12"/>
      <c r="AI36" s="15"/>
      <c r="AJ36" s="16">
        <f t="shared" si="15"/>
        <v>318.59999999999997</v>
      </c>
      <c r="AK36" s="11">
        <f>Inputs_Assumptions!$B$9</f>
        <v>0.35</v>
      </c>
      <c r="AL36" s="16">
        <f t="shared" si="16"/>
        <v>490.15384615384608</v>
      </c>
      <c r="AM36" s="11">
        <f>Inputs_Assumptions!$B$8</f>
        <v>0.18</v>
      </c>
      <c r="AN36" s="11" t="str">
        <f t="shared" si="17"/>
        <v/>
      </c>
      <c r="AO36" s="17" t="s">
        <v>168</v>
      </c>
      <c r="AP36" s="17"/>
      <c r="AQ36" s="17"/>
      <c r="AR36" s="17"/>
      <c r="AS36" s="17"/>
      <c r="AT36" s="10"/>
      <c r="AU36" s="9"/>
      <c r="AV36" s="10"/>
      <c r="AW36" t="s">
        <v>8</v>
      </c>
      <c r="BV36" s="9" t="s">
        <v>536</v>
      </c>
      <c r="BW36" s="9" t="s">
        <v>210</v>
      </c>
      <c r="BX36" s="9" t="s">
        <v>524</v>
      </c>
      <c r="BY36" s="9" t="s">
        <v>606</v>
      </c>
      <c r="BZ36" s="9" t="s">
        <v>526</v>
      </c>
      <c r="CA36" s="9" t="s">
        <v>146</v>
      </c>
      <c r="CB36" s="9" t="s">
        <v>147</v>
      </c>
      <c r="CC36" s="9" t="s">
        <v>148</v>
      </c>
      <c r="CD36" s="9"/>
      <c r="CE36" s="9" t="s">
        <v>149</v>
      </c>
      <c r="CF36" s="9"/>
      <c r="CG36" s="9"/>
      <c r="CH36" s="9" t="s">
        <v>150</v>
      </c>
      <c r="CI36" s="9" t="s">
        <v>150</v>
      </c>
      <c r="CJ36" s="9">
        <v>7</v>
      </c>
      <c r="CK36" s="9" t="s">
        <v>313</v>
      </c>
      <c r="CL36" s="9" t="s">
        <v>152</v>
      </c>
      <c r="CM36" s="9" t="s">
        <v>314</v>
      </c>
      <c r="CN36" s="9" t="s">
        <v>154</v>
      </c>
      <c r="CO36" s="9" t="s">
        <v>150</v>
      </c>
      <c r="CP36" s="9"/>
      <c r="CQ36" s="9"/>
      <c r="CR36" s="9" t="s">
        <v>155</v>
      </c>
      <c r="CS36" s="9" t="s">
        <v>607</v>
      </c>
      <c r="CT36" t="s">
        <v>173</v>
      </c>
      <c r="CU36">
        <v>21.2</v>
      </c>
      <c r="CV36" t="s">
        <v>608</v>
      </c>
    </row>
    <row r="37" spans="1:100" ht="45" hidden="1" customHeight="1" x14ac:dyDescent="0.3">
      <c r="A37" s="9" t="s">
        <v>609</v>
      </c>
      <c r="B37" s="9" t="s">
        <v>561</v>
      </c>
      <c r="C37" s="9" t="s">
        <v>490</v>
      </c>
      <c r="D37" s="10" t="s">
        <v>610</v>
      </c>
      <c r="E37" s="9" t="s">
        <v>611</v>
      </c>
      <c r="F37" s="9" t="s">
        <v>612</v>
      </c>
      <c r="G37" s="10" t="s">
        <v>613</v>
      </c>
      <c r="H37" s="10" t="s">
        <v>614</v>
      </c>
      <c r="I37" s="10" t="s">
        <v>615</v>
      </c>
      <c r="J37" s="10" t="s">
        <v>616</v>
      </c>
      <c r="K37" s="9" t="s">
        <v>165</v>
      </c>
      <c r="L37" s="10" t="s">
        <v>165</v>
      </c>
      <c r="M37" s="26">
        <v>6180</v>
      </c>
      <c r="N37" s="26">
        <v>9510</v>
      </c>
      <c r="O37" s="27">
        <v>0.35020000000000001</v>
      </c>
      <c r="P37" s="12"/>
      <c r="Q37" s="13" t="str">
        <f t="shared" si="10"/>
        <v>Amazon search</v>
      </c>
      <c r="R37" s="28">
        <v>6180</v>
      </c>
      <c r="S37" s="13" t="s">
        <v>617</v>
      </c>
      <c r="T37" s="12"/>
      <c r="U37" s="13" t="str">
        <f t="shared" si="11"/>
        <v>Alibaba search</v>
      </c>
      <c r="V37" s="12"/>
      <c r="W37" s="13" t="str">
        <f t="shared" si="12"/>
        <v>LCSC search</v>
      </c>
      <c r="X37" s="12"/>
      <c r="Y37" s="13" t="str">
        <f t="shared" si="13"/>
        <v>Mouser search</v>
      </c>
      <c r="Z37" s="12"/>
      <c r="AA37" s="13" t="str">
        <f t="shared" si="14"/>
        <v>DigiKey search</v>
      </c>
      <c r="AB37" s="9"/>
      <c r="AC37" s="9">
        <f>Inputs_Assumptions!$B$7</f>
        <v>150</v>
      </c>
      <c r="AD37" s="9">
        <f>Inputs_Assumptions!$B$7</f>
        <v>150</v>
      </c>
      <c r="AE37" s="11">
        <f>Inputs_Assumptions!$B$5</f>
        <v>0.1</v>
      </c>
      <c r="AF37" s="11">
        <f>Inputs_Assumptions!$B$6</f>
        <v>0.18</v>
      </c>
      <c r="AG37" s="14">
        <f>Inputs_Assumptions!$B$4</f>
        <v>83</v>
      </c>
      <c r="AH37" s="12"/>
      <c r="AI37" s="15"/>
      <c r="AJ37" s="16">
        <f t="shared" si="15"/>
        <v>7469.4</v>
      </c>
      <c r="AK37" s="11">
        <f>Inputs_Assumptions!$B$9</f>
        <v>0.35</v>
      </c>
      <c r="AL37" s="16">
        <f t="shared" si="16"/>
        <v>11491.384615384615</v>
      </c>
      <c r="AM37" s="11">
        <f>Inputs_Assumptions!$B$8</f>
        <v>0.18</v>
      </c>
      <c r="AN37" s="11" t="str">
        <f t="shared" si="17"/>
        <v/>
      </c>
      <c r="AO37" s="17" t="s">
        <v>268</v>
      </c>
      <c r="AP37" s="17"/>
      <c r="AQ37" s="17"/>
      <c r="AR37" s="17"/>
      <c r="AS37" s="17"/>
      <c r="AT37" s="10"/>
      <c r="AU37" s="29" t="s">
        <v>140</v>
      </c>
      <c r="AV37" s="10"/>
      <c r="AW37" t="s">
        <v>8</v>
      </c>
      <c r="BC37" s="30" t="s">
        <v>140</v>
      </c>
      <c r="BD37" t="s">
        <v>394</v>
      </c>
      <c r="BE37" t="s">
        <v>395</v>
      </c>
      <c r="BF37" t="s">
        <v>396</v>
      </c>
      <c r="BG37" t="s">
        <v>397</v>
      </c>
      <c r="BM37" s="31">
        <v>6180</v>
      </c>
      <c r="BN37" t="s">
        <v>398</v>
      </c>
      <c r="BO37" t="s">
        <v>617</v>
      </c>
      <c r="BP37" t="s">
        <v>394</v>
      </c>
      <c r="BQ37" t="s">
        <v>395</v>
      </c>
      <c r="BR37" t="s">
        <v>396</v>
      </c>
      <c r="BS37" t="s">
        <v>397</v>
      </c>
      <c r="BT37" s="30" t="s">
        <v>140</v>
      </c>
      <c r="BU37" t="s">
        <v>618</v>
      </c>
      <c r="BV37" s="9" t="s">
        <v>400</v>
      </c>
      <c r="BW37" s="9" t="s">
        <v>210</v>
      </c>
      <c r="BX37" s="9" t="s">
        <v>524</v>
      </c>
      <c r="BY37" s="9" t="s">
        <v>619</v>
      </c>
      <c r="BZ37" s="9" t="s">
        <v>526</v>
      </c>
      <c r="CA37" s="9" t="s">
        <v>146</v>
      </c>
      <c r="CB37" s="9" t="s">
        <v>404</v>
      </c>
      <c r="CC37" s="9" t="s">
        <v>405</v>
      </c>
      <c r="CD37" s="9" t="s">
        <v>617</v>
      </c>
      <c r="CE37" s="9" t="s">
        <v>406</v>
      </c>
      <c r="CF37" s="9"/>
      <c r="CG37" s="9"/>
      <c r="CH37" s="9" t="s">
        <v>407</v>
      </c>
      <c r="CI37" s="9" t="s">
        <v>150</v>
      </c>
      <c r="CJ37" s="9">
        <v>7</v>
      </c>
      <c r="CK37" s="9" t="s">
        <v>313</v>
      </c>
      <c r="CL37" s="9" t="s">
        <v>152</v>
      </c>
      <c r="CM37" s="9" t="s">
        <v>314</v>
      </c>
      <c r="CN37" s="9" t="s">
        <v>410</v>
      </c>
      <c r="CO37" s="9" t="s">
        <v>407</v>
      </c>
      <c r="CP37" s="9" t="s">
        <v>394</v>
      </c>
      <c r="CQ37" s="9" t="s">
        <v>620</v>
      </c>
      <c r="CR37" s="9" t="s">
        <v>155</v>
      </c>
      <c r="CS37" s="9" t="s">
        <v>588</v>
      </c>
      <c r="CT37" t="s">
        <v>272</v>
      </c>
      <c r="CU37">
        <v>16.3</v>
      </c>
      <c r="CV37" t="s">
        <v>621</v>
      </c>
    </row>
    <row r="38" spans="1:100" ht="45" customHeight="1" x14ac:dyDescent="0.3">
      <c r="A38" s="9" t="s">
        <v>622</v>
      </c>
      <c r="B38" s="9" t="s">
        <v>623</v>
      </c>
      <c r="C38" s="9" t="s">
        <v>490</v>
      </c>
      <c r="D38" s="10" t="s">
        <v>624</v>
      </c>
      <c r="E38" s="9" t="s">
        <v>625</v>
      </c>
      <c r="F38" s="9" t="s">
        <v>626</v>
      </c>
      <c r="G38" s="10"/>
      <c r="H38" s="10" t="s">
        <v>627</v>
      </c>
      <c r="I38" s="10" t="s">
        <v>628</v>
      </c>
      <c r="J38" s="10" t="s">
        <v>629</v>
      </c>
      <c r="K38" s="9" t="s">
        <v>194</v>
      </c>
      <c r="L38" s="10" t="s">
        <v>194</v>
      </c>
      <c r="M38" s="26">
        <v>165</v>
      </c>
      <c r="N38" s="26">
        <v>260</v>
      </c>
      <c r="O38" s="27">
        <v>0.3654</v>
      </c>
      <c r="P38" s="12"/>
      <c r="Q38" s="13" t="str">
        <f t="shared" si="10"/>
        <v>Amazon search</v>
      </c>
      <c r="R38" s="28">
        <v>165</v>
      </c>
      <c r="S38" s="13" t="s">
        <v>630</v>
      </c>
      <c r="T38" s="12"/>
      <c r="U38" s="13" t="str">
        <f t="shared" si="11"/>
        <v>Alibaba search</v>
      </c>
      <c r="V38" s="12"/>
      <c r="W38" s="13" t="str">
        <f t="shared" si="12"/>
        <v>LCSC search</v>
      </c>
      <c r="X38" s="12"/>
      <c r="Y38" s="13" t="str">
        <f t="shared" si="13"/>
        <v>Mouser search</v>
      </c>
      <c r="Z38" s="12"/>
      <c r="AA38" s="13" t="str">
        <f t="shared" si="14"/>
        <v>DigiKey search</v>
      </c>
      <c r="AB38" s="9"/>
      <c r="AC38" s="9">
        <f>Inputs_Assumptions!$B$7</f>
        <v>150</v>
      </c>
      <c r="AD38" s="9">
        <f>Inputs_Assumptions!$B$7</f>
        <v>150</v>
      </c>
      <c r="AE38" s="11">
        <f>Inputs_Assumptions!$B$5</f>
        <v>0.1</v>
      </c>
      <c r="AF38" s="11">
        <f>Inputs_Assumptions!$B$6</f>
        <v>0.18</v>
      </c>
      <c r="AG38" s="14">
        <f>Inputs_Assumptions!$B$4</f>
        <v>83</v>
      </c>
      <c r="AH38" s="12"/>
      <c r="AI38" s="15"/>
      <c r="AJ38" s="16">
        <f t="shared" si="15"/>
        <v>371.7</v>
      </c>
      <c r="AK38" s="11">
        <f>Inputs_Assumptions!$B$9</f>
        <v>0.35</v>
      </c>
      <c r="AL38" s="16">
        <f t="shared" si="16"/>
        <v>571.84615384615381</v>
      </c>
      <c r="AM38" s="11">
        <f>Inputs_Assumptions!$B$8</f>
        <v>0.18</v>
      </c>
      <c r="AN38" s="11" t="str">
        <f t="shared" si="17"/>
        <v/>
      </c>
      <c r="AO38" s="17" t="s">
        <v>139</v>
      </c>
      <c r="AP38" s="17">
        <v>30</v>
      </c>
      <c r="AQ38" s="17">
        <v>30</v>
      </c>
      <c r="AR38" s="17">
        <v>60</v>
      </c>
      <c r="AS38" s="17">
        <v>9</v>
      </c>
      <c r="AT38" s="10"/>
      <c r="AU38" s="29" t="s">
        <v>140</v>
      </c>
      <c r="AV38" s="10" t="s">
        <v>631</v>
      </c>
      <c r="AW38" t="s">
        <v>8</v>
      </c>
      <c r="BC38" s="30" t="s">
        <v>140</v>
      </c>
      <c r="BD38" t="s">
        <v>394</v>
      </c>
      <c r="BE38" t="s">
        <v>395</v>
      </c>
      <c r="BF38" t="s">
        <v>396</v>
      </c>
      <c r="BG38" t="s">
        <v>397</v>
      </c>
      <c r="BM38" s="31">
        <v>165</v>
      </c>
      <c r="BN38" t="s">
        <v>398</v>
      </c>
      <c r="BO38" t="s">
        <v>630</v>
      </c>
      <c r="BP38" t="s">
        <v>394</v>
      </c>
      <c r="BQ38" t="s">
        <v>395</v>
      </c>
      <c r="BR38" t="s">
        <v>396</v>
      </c>
      <c r="BS38" t="s">
        <v>397</v>
      </c>
      <c r="BT38" s="30" t="s">
        <v>140</v>
      </c>
      <c r="BV38" s="9" t="s">
        <v>632</v>
      </c>
      <c r="BW38" s="9" t="s">
        <v>210</v>
      </c>
      <c r="BX38" s="9" t="s">
        <v>310</v>
      </c>
      <c r="BY38" s="9" t="s">
        <v>633</v>
      </c>
      <c r="BZ38" s="9" t="s">
        <v>312</v>
      </c>
      <c r="CA38" s="9" t="s">
        <v>146</v>
      </c>
      <c r="CB38" s="9" t="s">
        <v>404</v>
      </c>
      <c r="CC38" s="9" t="s">
        <v>405</v>
      </c>
      <c r="CD38" s="9" t="s">
        <v>630</v>
      </c>
      <c r="CE38" s="9" t="s">
        <v>406</v>
      </c>
      <c r="CF38" s="9"/>
      <c r="CG38" s="9"/>
      <c r="CH38" s="9" t="s">
        <v>407</v>
      </c>
      <c r="CI38" s="9" t="s">
        <v>150</v>
      </c>
      <c r="CJ38" s="9">
        <v>7</v>
      </c>
      <c r="CK38" s="9" t="s">
        <v>313</v>
      </c>
      <c r="CL38" s="9" t="s">
        <v>152</v>
      </c>
      <c r="CM38" s="9" t="s">
        <v>314</v>
      </c>
      <c r="CN38" s="9" t="s">
        <v>410</v>
      </c>
      <c r="CO38" s="9" t="s">
        <v>407</v>
      </c>
      <c r="CP38" s="9" t="s">
        <v>394</v>
      </c>
      <c r="CQ38" s="9" t="s">
        <v>634</v>
      </c>
      <c r="CR38" s="9" t="s">
        <v>155</v>
      </c>
      <c r="CS38" s="9" t="s">
        <v>635</v>
      </c>
      <c r="CT38" t="s">
        <v>157</v>
      </c>
      <c r="CU38">
        <v>39.4</v>
      </c>
      <c r="CV38" t="s">
        <v>636</v>
      </c>
    </row>
    <row r="39" spans="1:100" ht="45" hidden="1" customHeight="1" x14ac:dyDescent="0.3">
      <c r="A39" s="9" t="s">
        <v>637</v>
      </c>
      <c r="B39" s="9" t="s">
        <v>623</v>
      </c>
      <c r="C39" s="9" t="s">
        <v>490</v>
      </c>
      <c r="D39" s="10" t="s">
        <v>638</v>
      </c>
      <c r="E39" s="9" t="s">
        <v>639</v>
      </c>
      <c r="F39" s="9" t="s">
        <v>640</v>
      </c>
      <c r="G39" s="10"/>
      <c r="H39" s="10" t="s">
        <v>641</v>
      </c>
      <c r="I39" s="10" t="s">
        <v>642</v>
      </c>
      <c r="J39" s="10" t="s">
        <v>240</v>
      </c>
      <c r="K39" s="9" t="s">
        <v>165</v>
      </c>
      <c r="L39" s="10" t="s">
        <v>165</v>
      </c>
      <c r="M39" s="26">
        <v>2459</v>
      </c>
      <c r="N39" s="26">
        <v>3790</v>
      </c>
      <c r="O39" s="27">
        <v>0.35120000000000001</v>
      </c>
      <c r="P39" s="12"/>
      <c r="Q39" s="13" t="str">
        <f t="shared" si="10"/>
        <v>Amazon search</v>
      </c>
      <c r="R39" s="28">
        <v>2459</v>
      </c>
      <c r="S39" s="13" t="s">
        <v>643</v>
      </c>
      <c r="T39" s="12"/>
      <c r="U39" s="13" t="str">
        <f t="shared" si="11"/>
        <v>Alibaba search</v>
      </c>
      <c r="V39" s="12"/>
      <c r="W39" s="13" t="str">
        <f t="shared" si="12"/>
        <v>LCSC search</v>
      </c>
      <c r="X39" s="12"/>
      <c r="Y39" s="13" t="str">
        <f t="shared" si="13"/>
        <v>Mouser search</v>
      </c>
      <c r="Z39" s="12"/>
      <c r="AA39" s="13" t="str">
        <f t="shared" si="14"/>
        <v>DigiKey search</v>
      </c>
      <c r="AB39" s="9"/>
      <c r="AC39" s="9">
        <f>Inputs_Assumptions!$B$7</f>
        <v>150</v>
      </c>
      <c r="AD39" s="9">
        <f>Inputs_Assumptions!$B$7</f>
        <v>150</v>
      </c>
      <c r="AE39" s="11">
        <f>Inputs_Assumptions!$B$5</f>
        <v>0.1</v>
      </c>
      <c r="AF39" s="11">
        <f>Inputs_Assumptions!$B$6</f>
        <v>0.18</v>
      </c>
      <c r="AG39" s="14">
        <f>Inputs_Assumptions!$B$4</f>
        <v>83</v>
      </c>
      <c r="AH39" s="12"/>
      <c r="AI39" s="15"/>
      <c r="AJ39" s="16">
        <f t="shared" si="15"/>
        <v>3078.62</v>
      </c>
      <c r="AK39" s="11">
        <f>Inputs_Assumptions!$B$9</f>
        <v>0.35</v>
      </c>
      <c r="AL39" s="16">
        <f t="shared" si="16"/>
        <v>4736.3384615384612</v>
      </c>
      <c r="AM39" s="11">
        <f>Inputs_Assumptions!$B$8</f>
        <v>0.18</v>
      </c>
      <c r="AN39" s="11" t="str">
        <f t="shared" si="17"/>
        <v/>
      </c>
      <c r="AO39" s="17" t="s">
        <v>168</v>
      </c>
      <c r="AP39" s="17"/>
      <c r="AQ39" s="17">
        <v>10</v>
      </c>
      <c r="AR39" s="17">
        <v>20</v>
      </c>
      <c r="AS39" s="17">
        <v>3</v>
      </c>
      <c r="AT39" s="10"/>
      <c r="AU39" s="29" t="s">
        <v>140</v>
      </c>
      <c r="AV39" s="10"/>
      <c r="AW39" t="s">
        <v>8</v>
      </c>
      <c r="BC39" s="30" t="s">
        <v>140</v>
      </c>
      <c r="BD39" t="s">
        <v>394</v>
      </c>
      <c r="BE39" t="s">
        <v>395</v>
      </c>
      <c r="BF39" t="s">
        <v>396</v>
      </c>
      <c r="BG39" t="s">
        <v>397</v>
      </c>
      <c r="BM39" s="31">
        <v>2459</v>
      </c>
      <c r="BN39" t="s">
        <v>398</v>
      </c>
      <c r="BO39" t="s">
        <v>643</v>
      </c>
      <c r="BP39" t="s">
        <v>394</v>
      </c>
      <c r="BQ39" t="s">
        <v>395</v>
      </c>
      <c r="BR39" t="s">
        <v>396</v>
      </c>
      <c r="BS39" t="s">
        <v>397</v>
      </c>
      <c r="BT39" s="30" t="s">
        <v>140</v>
      </c>
      <c r="BU39" t="s">
        <v>644</v>
      </c>
      <c r="BV39" s="9" t="s">
        <v>400</v>
      </c>
      <c r="BW39" s="9" t="s">
        <v>210</v>
      </c>
      <c r="BX39" s="9" t="s">
        <v>310</v>
      </c>
      <c r="BY39" s="9" t="s">
        <v>645</v>
      </c>
      <c r="BZ39" s="9" t="s">
        <v>312</v>
      </c>
      <c r="CA39" s="9" t="s">
        <v>146</v>
      </c>
      <c r="CB39" s="9" t="s">
        <v>404</v>
      </c>
      <c r="CC39" s="9" t="s">
        <v>405</v>
      </c>
      <c r="CD39" s="9" t="s">
        <v>643</v>
      </c>
      <c r="CE39" s="9" t="s">
        <v>406</v>
      </c>
      <c r="CF39" s="9"/>
      <c r="CG39" s="9"/>
      <c r="CH39" s="9" t="s">
        <v>407</v>
      </c>
      <c r="CI39" s="9" t="s">
        <v>150</v>
      </c>
      <c r="CJ39" s="9">
        <v>7</v>
      </c>
      <c r="CK39" s="9" t="s">
        <v>313</v>
      </c>
      <c r="CL39" s="9" t="s">
        <v>152</v>
      </c>
      <c r="CM39" s="9" t="s">
        <v>314</v>
      </c>
      <c r="CN39" s="9" t="s">
        <v>410</v>
      </c>
      <c r="CO39" s="9" t="s">
        <v>407</v>
      </c>
      <c r="CP39" s="9" t="s">
        <v>394</v>
      </c>
      <c r="CQ39" s="9" t="s">
        <v>646</v>
      </c>
      <c r="CR39" s="9" t="s">
        <v>155</v>
      </c>
      <c r="CS39" s="9" t="s">
        <v>647</v>
      </c>
      <c r="CT39" t="s">
        <v>173</v>
      </c>
      <c r="CU39">
        <v>22.3</v>
      </c>
      <c r="CV39" t="s">
        <v>648</v>
      </c>
    </row>
    <row r="40" spans="1:100" ht="45" hidden="1" customHeight="1" x14ac:dyDescent="0.3">
      <c r="A40" s="9" t="s">
        <v>649</v>
      </c>
      <c r="B40" s="9" t="s">
        <v>623</v>
      </c>
      <c r="C40" s="9" t="s">
        <v>490</v>
      </c>
      <c r="D40" s="10" t="s">
        <v>650</v>
      </c>
      <c r="E40" s="9" t="s">
        <v>651</v>
      </c>
      <c r="F40" s="9" t="s">
        <v>652</v>
      </c>
      <c r="G40" s="10"/>
      <c r="H40" s="10" t="s">
        <v>653</v>
      </c>
      <c r="I40" s="10" t="s">
        <v>628</v>
      </c>
      <c r="J40" s="10" t="s">
        <v>654</v>
      </c>
      <c r="K40" s="9" t="s">
        <v>194</v>
      </c>
      <c r="L40" s="10" t="s">
        <v>194</v>
      </c>
      <c r="M40" s="26">
        <v>1506</v>
      </c>
      <c r="N40" s="26">
        <v>2320</v>
      </c>
      <c r="O40" s="27">
        <v>0.35089999999999999</v>
      </c>
      <c r="P40" s="12"/>
      <c r="Q40" s="13" t="str">
        <f t="shared" si="10"/>
        <v>Amazon search</v>
      </c>
      <c r="R40" s="28">
        <v>1506</v>
      </c>
      <c r="S40" s="13" t="s">
        <v>655</v>
      </c>
      <c r="T40" s="12"/>
      <c r="U40" s="13" t="str">
        <f t="shared" si="11"/>
        <v>Alibaba search</v>
      </c>
      <c r="V40" s="12"/>
      <c r="W40" s="13" t="str">
        <f t="shared" si="12"/>
        <v>LCSC search</v>
      </c>
      <c r="X40" s="12"/>
      <c r="Y40" s="13" t="str">
        <f t="shared" si="13"/>
        <v>Mouser search</v>
      </c>
      <c r="Z40" s="12"/>
      <c r="AA40" s="13" t="str">
        <f t="shared" si="14"/>
        <v>DigiKey search</v>
      </c>
      <c r="AB40" s="9"/>
      <c r="AC40" s="9">
        <f>Inputs_Assumptions!$B$7</f>
        <v>150</v>
      </c>
      <c r="AD40" s="9">
        <f>Inputs_Assumptions!$B$7</f>
        <v>150</v>
      </c>
      <c r="AE40" s="11">
        <f>Inputs_Assumptions!$B$5</f>
        <v>0.1</v>
      </c>
      <c r="AF40" s="11">
        <f>Inputs_Assumptions!$B$6</f>
        <v>0.18</v>
      </c>
      <c r="AG40" s="14">
        <f>Inputs_Assumptions!$B$4</f>
        <v>83</v>
      </c>
      <c r="AH40" s="12"/>
      <c r="AI40" s="15"/>
      <c r="AJ40" s="16">
        <f t="shared" si="15"/>
        <v>1954.08</v>
      </c>
      <c r="AK40" s="11">
        <f>Inputs_Assumptions!$B$9</f>
        <v>0.35</v>
      </c>
      <c r="AL40" s="16">
        <f t="shared" si="16"/>
        <v>3006.2769230769227</v>
      </c>
      <c r="AM40" s="11">
        <f>Inputs_Assumptions!$B$8</f>
        <v>0.18</v>
      </c>
      <c r="AN40" s="11" t="str">
        <f t="shared" si="17"/>
        <v/>
      </c>
      <c r="AO40" s="17" t="s">
        <v>168</v>
      </c>
      <c r="AP40" s="17">
        <v>6</v>
      </c>
      <c r="AQ40" s="17">
        <v>6</v>
      </c>
      <c r="AR40" s="17">
        <v>12</v>
      </c>
      <c r="AS40" s="17">
        <v>2</v>
      </c>
      <c r="AT40" s="10"/>
      <c r="AU40" s="29" t="s">
        <v>140</v>
      </c>
      <c r="AV40" s="10" t="s">
        <v>656</v>
      </c>
      <c r="AW40" t="s">
        <v>8</v>
      </c>
      <c r="BC40" s="30" t="s">
        <v>140</v>
      </c>
      <c r="BD40" t="s">
        <v>394</v>
      </c>
      <c r="BE40" t="s">
        <v>395</v>
      </c>
      <c r="BF40" t="s">
        <v>396</v>
      </c>
      <c r="BG40" t="s">
        <v>397</v>
      </c>
      <c r="BM40" s="31">
        <v>1506</v>
      </c>
      <c r="BN40" t="s">
        <v>398</v>
      </c>
      <c r="BO40" t="s">
        <v>655</v>
      </c>
      <c r="BP40" t="s">
        <v>394</v>
      </c>
      <c r="BQ40" t="s">
        <v>395</v>
      </c>
      <c r="BR40" t="s">
        <v>396</v>
      </c>
      <c r="BS40" t="s">
        <v>397</v>
      </c>
      <c r="BT40" s="30" t="s">
        <v>140</v>
      </c>
      <c r="BU40" t="s">
        <v>657</v>
      </c>
      <c r="BV40" s="9" t="s">
        <v>572</v>
      </c>
      <c r="BW40" s="9" t="s">
        <v>210</v>
      </c>
      <c r="BX40" s="9" t="s">
        <v>310</v>
      </c>
      <c r="BY40" s="9" t="s">
        <v>658</v>
      </c>
      <c r="BZ40" s="9" t="s">
        <v>312</v>
      </c>
      <c r="CA40" s="9" t="s">
        <v>146</v>
      </c>
      <c r="CB40" s="9" t="s">
        <v>404</v>
      </c>
      <c r="CC40" s="9" t="s">
        <v>405</v>
      </c>
      <c r="CD40" s="9" t="s">
        <v>655</v>
      </c>
      <c r="CE40" s="9" t="s">
        <v>406</v>
      </c>
      <c r="CF40" s="9"/>
      <c r="CG40" s="9"/>
      <c r="CH40" s="9" t="s">
        <v>407</v>
      </c>
      <c r="CI40" s="9" t="s">
        <v>150</v>
      </c>
      <c r="CJ40" s="9">
        <v>7</v>
      </c>
      <c r="CK40" s="9" t="s">
        <v>313</v>
      </c>
      <c r="CL40" s="9" t="s">
        <v>152</v>
      </c>
      <c r="CM40" s="9" t="s">
        <v>314</v>
      </c>
      <c r="CN40" s="9" t="s">
        <v>410</v>
      </c>
      <c r="CO40" s="9" t="s">
        <v>407</v>
      </c>
      <c r="CP40" s="9" t="s">
        <v>394</v>
      </c>
      <c r="CQ40" s="9" t="s">
        <v>659</v>
      </c>
      <c r="CR40" s="9" t="s">
        <v>155</v>
      </c>
      <c r="CS40" s="9" t="s">
        <v>660</v>
      </c>
      <c r="CT40" t="s">
        <v>173</v>
      </c>
      <c r="CU40">
        <v>26.4</v>
      </c>
      <c r="CV40" t="s">
        <v>661</v>
      </c>
    </row>
    <row r="41" spans="1:100" ht="45" hidden="1" customHeight="1" x14ac:dyDescent="0.3">
      <c r="A41" s="9" t="s">
        <v>662</v>
      </c>
      <c r="B41" s="9" t="s">
        <v>623</v>
      </c>
      <c r="C41" s="9" t="s">
        <v>490</v>
      </c>
      <c r="D41" s="10" t="s">
        <v>663</v>
      </c>
      <c r="E41" s="9" t="s">
        <v>664</v>
      </c>
      <c r="F41" s="9" t="s">
        <v>665</v>
      </c>
      <c r="G41" s="10"/>
      <c r="H41" s="10" t="s">
        <v>666</v>
      </c>
      <c r="I41" s="10" t="s">
        <v>667</v>
      </c>
      <c r="J41" s="10" t="s">
        <v>654</v>
      </c>
      <c r="K41" s="9" t="s">
        <v>165</v>
      </c>
      <c r="L41" s="10" t="s">
        <v>165</v>
      </c>
      <c r="M41" s="26">
        <v>7926</v>
      </c>
      <c r="N41" s="26">
        <v>12200</v>
      </c>
      <c r="O41" s="27">
        <v>0.3503</v>
      </c>
      <c r="P41" s="12"/>
      <c r="Q41" s="13" t="str">
        <f t="shared" si="10"/>
        <v>Amazon search</v>
      </c>
      <c r="R41" s="28">
        <v>7926</v>
      </c>
      <c r="S41" s="13" t="s">
        <v>668</v>
      </c>
      <c r="T41" s="12"/>
      <c r="U41" s="13" t="str">
        <f t="shared" si="11"/>
        <v>Alibaba search</v>
      </c>
      <c r="V41" s="12"/>
      <c r="W41" s="13" t="str">
        <f t="shared" si="12"/>
        <v>LCSC search</v>
      </c>
      <c r="X41" s="12"/>
      <c r="Y41" s="13" t="str">
        <f t="shared" si="13"/>
        <v>Mouser search</v>
      </c>
      <c r="Z41" s="12"/>
      <c r="AA41" s="13" t="str">
        <f t="shared" si="14"/>
        <v>DigiKey search</v>
      </c>
      <c r="AB41" s="9"/>
      <c r="AC41" s="9">
        <f>Inputs_Assumptions!$B$7</f>
        <v>150</v>
      </c>
      <c r="AD41" s="9">
        <f>Inputs_Assumptions!$B$7</f>
        <v>150</v>
      </c>
      <c r="AE41" s="11">
        <f>Inputs_Assumptions!$B$5</f>
        <v>0.1</v>
      </c>
      <c r="AF41" s="11">
        <f>Inputs_Assumptions!$B$6</f>
        <v>0.18</v>
      </c>
      <c r="AG41" s="14">
        <f>Inputs_Assumptions!$B$4</f>
        <v>83</v>
      </c>
      <c r="AH41" s="12"/>
      <c r="AI41" s="15"/>
      <c r="AJ41" s="16">
        <f t="shared" si="15"/>
        <v>9529.68</v>
      </c>
      <c r="AK41" s="11">
        <f>Inputs_Assumptions!$B$9</f>
        <v>0.35</v>
      </c>
      <c r="AL41" s="16">
        <f t="shared" si="16"/>
        <v>14661.046153846153</v>
      </c>
      <c r="AM41" s="11">
        <f>Inputs_Assumptions!$B$8</f>
        <v>0.18</v>
      </c>
      <c r="AN41" s="11" t="str">
        <f t="shared" si="17"/>
        <v/>
      </c>
      <c r="AO41" s="17" t="s">
        <v>268</v>
      </c>
      <c r="AP41" s="17"/>
      <c r="AQ41" s="17">
        <v>2</v>
      </c>
      <c r="AR41" s="17">
        <v>4</v>
      </c>
      <c r="AS41" s="17">
        <v>1</v>
      </c>
      <c r="AT41" s="10"/>
      <c r="AU41" s="29" t="s">
        <v>140</v>
      </c>
      <c r="AV41" s="10"/>
      <c r="AW41" t="s">
        <v>8</v>
      </c>
      <c r="BC41" s="30" t="s">
        <v>140</v>
      </c>
      <c r="BD41" t="s">
        <v>394</v>
      </c>
      <c r="BE41" t="s">
        <v>395</v>
      </c>
      <c r="BF41" t="s">
        <v>396</v>
      </c>
      <c r="BG41" t="s">
        <v>397</v>
      </c>
      <c r="BM41" s="31">
        <v>7926</v>
      </c>
      <c r="BN41" t="s">
        <v>398</v>
      </c>
      <c r="BO41" t="s">
        <v>668</v>
      </c>
      <c r="BP41" t="s">
        <v>394</v>
      </c>
      <c r="BQ41" t="s">
        <v>395</v>
      </c>
      <c r="BR41" t="s">
        <v>396</v>
      </c>
      <c r="BS41" t="s">
        <v>397</v>
      </c>
      <c r="BT41" s="30" t="s">
        <v>140</v>
      </c>
      <c r="BV41" s="9" t="s">
        <v>400</v>
      </c>
      <c r="BW41" s="9" t="s">
        <v>210</v>
      </c>
      <c r="BX41" s="9" t="s">
        <v>310</v>
      </c>
      <c r="BY41" s="9" t="s">
        <v>669</v>
      </c>
      <c r="BZ41" s="9" t="s">
        <v>312</v>
      </c>
      <c r="CA41" s="9" t="s">
        <v>146</v>
      </c>
      <c r="CB41" s="9" t="s">
        <v>404</v>
      </c>
      <c r="CC41" s="9" t="s">
        <v>405</v>
      </c>
      <c r="CD41" s="9" t="s">
        <v>668</v>
      </c>
      <c r="CE41" s="9" t="s">
        <v>406</v>
      </c>
      <c r="CF41" s="9"/>
      <c r="CG41" s="9"/>
      <c r="CH41" s="9" t="s">
        <v>407</v>
      </c>
      <c r="CI41" s="9" t="s">
        <v>150</v>
      </c>
      <c r="CJ41" s="9">
        <v>7</v>
      </c>
      <c r="CK41" s="9" t="s">
        <v>313</v>
      </c>
      <c r="CL41" s="9" t="s">
        <v>152</v>
      </c>
      <c r="CM41" s="9" t="s">
        <v>314</v>
      </c>
      <c r="CN41" s="9" t="s">
        <v>410</v>
      </c>
      <c r="CO41" s="9" t="s">
        <v>407</v>
      </c>
      <c r="CP41" s="9" t="s">
        <v>394</v>
      </c>
      <c r="CQ41" s="9" t="s">
        <v>670</v>
      </c>
      <c r="CR41" s="9" t="s">
        <v>155</v>
      </c>
      <c r="CS41" s="9" t="s">
        <v>647</v>
      </c>
      <c r="CT41" t="s">
        <v>272</v>
      </c>
      <c r="CU41">
        <v>18.3</v>
      </c>
      <c r="CV41" t="s">
        <v>671</v>
      </c>
    </row>
    <row r="42" spans="1:100" ht="45" hidden="1" customHeight="1" x14ac:dyDescent="0.3">
      <c r="A42" s="9" t="s">
        <v>672</v>
      </c>
      <c r="B42" s="9" t="s">
        <v>623</v>
      </c>
      <c r="C42" s="9" t="s">
        <v>490</v>
      </c>
      <c r="D42" s="10" t="s">
        <v>673</v>
      </c>
      <c r="E42" s="9" t="s">
        <v>674</v>
      </c>
      <c r="F42" s="9" t="s">
        <v>675</v>
      </c>
      <c r="G42" s="10"/>
      <c r="H42" s="10" t="s">
        <v>676</v>
      </c>
      <c r="I42" s="10" t="s">
        <v>677</v>
      </c>
      <c r="J42" s="10" t="s">
        <v>678</v>
      </c>
      <c r="K42" s="9" t="s">
        <v>194</v>
      </c>
      <c r="L42" s="10" t="s">
        <v>194</v>
      </c>
      <c r="M42" s="26">
        <v>239</v>
      </c>
      <c r="N42" s="26">
        <v>370</v>
      </c>
      <c r="O42" s="27">
        <v>0.35410000000000003</v>
      </c>
      <c r="P42" s="12"/>
      <c r="Q42" s="13" t="str">
        <f t="shared" si="10"/>
        <v>Amazon search</v>
      </c>
      <c r="R42" s="28">
        <v>239</v>
      </c>
      <c r="S42" s="13" t="s">
        <v>679</v>
      </c>
      <c r="T42" s="12"/>
      <c r="U42" s="13" t="str">
        <f t="shared" si="11"/>
        <v>Alibaba search</v>
      </c>
      <c r="V42" s="12"/>
      <c r="W42" s="13" t="str">
        <f t="shared" si="12"/>
        <v>LCSC search</v>
      </c>
      <c r="X42" s="12"/>
      <c r="Y42" s="13" t="str">
        <f t="shared" si="13"/>
        <v>Mouser search</v>
      </c>
      <c r="Z42" s="12"/>
      <c r="AA42" s="13" t="str">
        <f t="shared" si="14"/>
        <v>DigiKey search</v>
      </c>
      <c r="AB42" s="9"/>
      <c r="AC42" s="9">
        <f>Inputs_Assumptions!$B$7</f>
        <v>150</v>
      </c>
      <c r="AD42" s="9">
        <f>Inputs_Assumptions!$B$7</f>
        <v>150</v>
      </c>
      <c r="AE42" s="11">
        <f>Inputs_Assumptions!$B$5</f>
        <v>0.1</v>
      </c>
      <c r="AF42" s="11">
        <f>Inputs_Assumptions!$B$6</f>
        <v>0.18</v>
      </c>
      <c r="AG42" s="14">
        <f>Inputs_Assumptions!$B$4</f>
        <v>83</v>
      </c>
      <c r="AH42" s="12"/>
      <c r="AI42" s="15"/>
      <c r="AJ42" s="16">
        <f t="shared" si="15"/>
        <v>459.02</v>
      </c>
      <c r="AK42" s="11">
        <f>Inputs_Assumptions!$B$9</f>
        <v>0.35</v>
      </c>
      <c r="AL42" s="16">
        <f t="shared" si="16"/>
        <v>706.18461538461531</v>
      </c>
      <c r="AM42" s="11">
        <f>Inputs_Assumptions!$B$8</f>
        <v>0.18</v>
      </c>
      <c r="AN42" s="11" t="str">
        <f t="shared" si="17"/>
        <v/>
      </c>
      <c r="AO42" s="17" t="s">
        <v>168</v>
      </c>
      <c r="AP42" s="17">
        <v>6</v>
      </c>
      <c r="AQ42" s="17">
        <v>6</v>
      </c>
      <c r="AR42" s="17">
        <v>12</v>
      </c>
      <c r="AS42" s="17">
        <v>2</v>
      </c>
      <c r="AT42" s="10"/>
      <c r="AU42" s="29" t="s">
        <v>140</v>
      </c>
      <c r="AV42" s="10"/>
      <c r="AW42" t="s">
        <v>8</v>
      </c>
      <c r="BC42" s="30" t="s">
        <v>140</v>
      </c>
      <c r="BD42" t="s">
        <v>394</v>
      </c>
      <c r="BE42" t="s">
        <v>395</v>
      </c>
      <c r="BF42" t="s">
        <v>396</v>
      </c>
      <c r="BG42" t="s">
        <v>397</v>
      </c>
      <c r="BM42" s="31">
        <v>239</v>
      </c>
      <c r="BN42" t="s">
        <v>398</v>
      </c>
      <c r="BO42" t="s">
        <v>679</v>
      </c>
      <c r="BP42" t="s">
        <v>394</v>
      </c>
      <c r="BQ42" t="s">
        <v>395</v>
      </c>
      <c r="BR42" t="s">
        <v>396</v>
      </c>
      <c r="BS42" t="s">
        <v>397</v>
      </c>
      <c r="BT42" s="30" t="s">
        <v>140</v>
      </c>
      <c r="BV42" s="9" t="s">
        <v>632</v>
      </c>
      <c r="BW42" s="9" t="s">
        <v>210</v>
      </c>
      <c r="BX42" s="9" t="s">
        <v>310</v>
      </c>
      <c r="BY42" s="9" t="s">
        <v>680</v>
      </c>
      <c r="BZ42" s="9" t="s">
        <v>312</v>
      </c>
      <c r="CA42" s="9" t="s">
        <v>146</v>
      </c>
      <c r="CB42" s="9" t="s">
        <v>404</v>
      </c>
      <c r="CC42" s="9" t="s">
        <v>405</v>
      </c>
      <c r="CD42" s="9" t="s">
        <v>679</v>
      </c>
      <c r="CE42" s="9" t="s">
        <v>406</v>
      </c>
      <c r="CF42" s="9"/>
      <c r="CG42" s="9"/>
      <c r="CH42" s="9" t="s">
        <v>407</v>
      </c>
      <c r="CI42" s="9" t="s">
        <v>150</v>
      </c>
      <c r="CJ42" s="9">
        <v>7</v>
      </c>
      <c r="CK42" s="9" t="s">
        <v>313</v>
      </c>
      <c r="CL42" s="9" t="s">
        <v>152</v>
      </c>
      <c r="CM42" s="9" t="s">
        <v>314</v>
      </c>
      <c r="CN42" s="9" t="s">
        <v>410</v>
      </c>
      <c r="CO42" s="9" t="s">
        <v>407</v>
      </c>
      <c r="CP42" s="9" t="s">
        <v>394</v>
      </c>
      <c r="CQ42" s="9" t="s">
        <v>681</v>
      </c>
      <c r="CR42" s="9" t="s">
        <v>155</v>
      </c>
      <c r="CS42" s="9" t="s">
        <v>635</v>
      </c>
      <c r="CT42" t="s">
        <v>173</v>
      </c>
      <c r="CU42">
        <v>26.4</v>
      </c>
      <c r="CV42" t="s">
        <v>661</v>
      </c>
    </row>
    <row r="43" spans="1:100" ht="45" hidden="1" customHeight="1" x14ac:dyDescent="0.3">
      <c r="A43" s="9" t="s">
        <v>682</v>
      </c>
      <c r="B43" s="9" t="s">
        <v>623</v>
      </c>
      <c r="C43" s="9" t="s">
        <v>490</v>
      </c>
      <c r="D43" s="10" t="s">
        <v>683</v>
      </c>
      <c r="E43" s="9" t="s">
        <v>684</v>
      </c>
      <c r="F43" s="9" t="s">
        <v>685</v>
      </c>
      <c r="G43" s="10"/>
      <c r="H43" s="10" t="s">
        <v>686</v>
      </c>
      <c r="I43" s="10" t="s">
        <v>687</v>
      </c>
      <c r="J43" s="10" t="s">
        <v>595</v>
      </c>
      <c r="K43" s="9" t="s">
        <v>194</v>
      </c>
      <c r="L43" s="10" t="s">
        <v>194</v>
      </c>
      <c r="M43" s="26">
        <v>29</v>
      </c>
      <c r="N43" s="26">
        <v>50</v>
      </c>
      <c r="O43" s="27">
        <v>0.42</v>
      </c>
      <c r="P43" s="12"/>
      <c r="Q43" s="13" t="str">
        <f t="shared" si="10"/>
        <v>Amazon search</v>
      </c>
      <c r="R43" s="28">
        <v>29</v>
      </c>
      <c r="S43" s="13" t="s">
        <v>688</v>
      </c>
      <c r="T43" s="12"/>
      <c r="U43" s="13" t="str">
        <f t="shared" si="11"/>
        <v>Alibaba search</v>
      </c>
      <c r="V43" s="12"/>
      <c r="W43" s="13" t="str">
        <f t="shared" si="12"/>
        <v>LCSC search</v>
      </c>
      <c r="X43" s="12"/>
      <c r="Y43" s="13" t="str">
        <f t="shared" si="13"/>
        <v>Mouser search</v>
      </c>
      <c r="Z43" s="12"/>
      <c r="AA43" s="13" t="str">
        <f t="shared" si="14"/>
        <v>DigiKey search</v>
      </c>
      <c r="AB43" s="9"/>
      <c r="AC43" s="9">
        <f>Inputs_Assumptions!$B$7</f>
        <v>150</v>
      </c>
      <c r="AD43" s="9">
        <f>Inputs_Assumptions!$B$7</f>
        <v>150</v>
      </c>
      <c r="AE43" s="11">
        <f>Inputs_Assumptions!$B$5</f>
        <v>0.1</v>
      </c>
      <c r="AF43" s="11">
        <f>Inputs_Assumptions!$B$6</f>
        <v>0.18</v>
      </c>
      <c r="AG43" s="14">
        <f>Inputs_Assumptions!$B$4</f>
        <v>83</v>
      </c>
      <c r="AH43" s="12"/>
      <c r="AI43" s="15"/>
      <c r="AJ43" s="16">
        <f t="shared" si="15"/>
        <v>211.22</v>
      </c>
      <c r="AK43" s="11">
        <f>Inputs_Assumptions!$B$9</f>
        <v>0.35</v>
      </c>
      <c r="AL43" s="16">
        <f t="shared" si="16"/>
        <v>324.95384615384614</v>
      </c>
      <c r="AM43" s="11">
        <f>Inputs_Assumptions!$B$8</f>
        <v>0.18</v>
      </c>
      <c r="AN43" s="11" t="str">
        <f t="shared" si="17"/>
        <v/>
      </c>
      <c r="AO43" s="17" t="s">
        <v>168</v>
      </c>
      <c r="AP43" s="17"/>
      <c r="AQ43" s="17"/>
      <c r="AR43" s="17"/>
      <c r="AS43" s="17"/>
      <c r="AT43" s="10"/>
      <c r="AU43" s="29" t="s">
        <v>140</v>
      </c>
      <c r="AV43" s="10"/>
      <c r="AW43" t="s">
        <v>8</v>
      </c>
      <c r="BC43" s="30" t="s">
        <v>140</v>
      </c>
      <c r="BD43" t="s">
        <v>394</v>
      </c>
      <c r="BE43" t="s">
        <v>395</v>
      </c>
      <c r="BF43" t="s">
        <v>396</v>
      </c>
      <c r="BG43" t="s">
        <v>397</v>
      </c>
      <c r="BM43" s="31">
        <v>29</v>
      </c>
      <c r="BN43" t="s">
        <v>398</v>
      </c>
      <c r="BO43" t="s">
        <v>688</v>
      </c>
      <c r="BP43" t="s">
        <v>394</v>
      </c>
      <c r="BQ43" t="s">
        <v>395</v>
      </c>
      <c r="BR43" t="s">
        <v>396</v>
      </c>
      <c r="BS43" t="s">
        <v>397</v>
      </c>
      <c r="BT43" s="30" t="s">
        <v>140</v>
      </c>
      <c r="BV43" s="9" t="s">
        <v>689</v>
      </c>
      <c r="BW43" s="9" t="s">
        <v>170</v>
      </c>
      <c r="BX43" s="9" t="s">
        <v>310</v>
      </c>
      <c r="BY43" s="9" t="s">
        <v>690</v>
      </c>
      <c r="BZ43" s="9" t="s">
        <v>312</v>
      </c>
      <c r="CA43" s="9" t="s">
        <v>146</v>
      </c>
      <c r="CB43" s="9" t="s">
        <v>404</v>
      </c>
      <c r="CC43" s="9" t="s">
        <v>405</v>
      </c>
      <c r="CD43" s="9" t="s">
        <v>688</v>
      </c>
      <c r="CE43" s="9" t="s">
        <v>406</v>
      </c>
      <c r="CF43" s="9"/>
      <c r="CG43" s="9"/>
      <c r="CH43" s="9" t="s">
        <v>407</v>
      </c>
      <c r="CI43" s="9" t="s">
        <v>150</v>
      </c>
      <c r="CJ43" s="9">
        <v>7</v>
      </c>
      <c r="CK43" s="9" t="s">
        <v>313</v>
      </c>
      <c r="CL43" s="9" t="s">
        <v>152</v>
      </c>
      <c r="CM43" s="9" t="s">
        <v>314</v>
      </c>
      <c r="CN43" s="9" t="s">
        <v>410</v>
      </c>
      <c r="CO43" s="9" t="s">
        <v>407</v>
      </c>
      <c r="CP43" s="9" t="s">
        <v>394</v>
      </c>
      <c r="CQ43" s="9" t="s">
        <v>691</v>
      </c>
      <c r="CR43" s="9" t="s">
        <v>155</v>
      </c>
      <c r="CS43" s="9" t="s">
        <v>692</v>
      </c>
      <c r="CT43" t="s">
        <v>173</v>
      </c>
      <c r="CU43">
        <v>21.5</v>
      </c>
      <c r="CV43" t="s">
        <v>693</v>
      </c>
    </row>
    <row r="44" spans="1:100" ht="45" customHeight="1" x14ac:dyDescent="0.3">
      <c r="A44" s="9" t="s">
        <v>694</v>
      </c>
      <c r="B44" s="9" t="s">
        <v>623</v>
      </c>
      <c r="C44" s="9" t="s">
        <v>490</v>
      </c>
      <c r="D44" s="10" t="s">
        <v>695</v>
      </c>
      <c r="E44" s="9" t="s">
        <v>515</v>
      </c>
      <c r="F44" s="9" t="s">
        <v>696</v>
      </c>
      <c r="G44" s="10"/>
      <c r="H44" s="10" t="s">
        <v>697</v>
      </c>
      <c r="I44" s="10" t="s">
        <v>628</v>
      </c>
      <c r="J44" s="10" t="s">
        <v>595</v>
      </c>
      <c r="K44" s="9" t="s">
        <v>194</v>
      </c>
      <c r="L44" s="10" t="s">
        <v>194</v>
      </c>
      <c r="M44" s="26">
        <v>59</v>
      </c>
      <c r="N44" s="26">
        <v>100</v>
      </c>
      <c r="O44" s="27">
        <v>0.41</v>
      </c>
      <c r="P44" s="12"/>
      <c r="Q44" s="13" t="str">
        <f t="shared" si="10"/>
        <v>Amazon search</v>
      </c>
      <c r="R44" s="28">
        <v>59</v>
      </c>
      <c r="S44" s="13" t="s">
        <v>698</v>
      </c>
      <c r="T44" s="12"/>
      <c r="U44" s="13" t="str">
        <f t="shared" si="11"/>
        <v>Alibaba search</v>
      </c>
      <c r="V44" s="12"/>
      <c r="W44" s="13" t="str">
        <f t="shared" si="12"/>
        <v>LCSC search</v>
      </c>
      <c r="X44" s="12"/>
      <c r="Y44" s="13" t="str">
        <f t="shared" si="13"/>
        <v>Mouser search</v>
      </c>
      <c r="Z44" s="12"/>
      <c r="AA44" s="13" t="str">
        <f t="shared" si="14"/>
        <v>DigiKey search</v>
      </c>
      <c r="AB44" s="9"/>
      <c r="AC44" s="9">
        <f>Inputs_Assumptions!$B$7</f>
        <v>150</v>
      </c>
      <c r="AD44" s="9">
        <f>Inputs_Assumptions!$B$7</f>
        <v>150</v>
      </c>
      <c r="AE44" s="11">
        <f>Inputs_Assumptions!$B$5</f>
        <v>0.1</v>
      </c>
      <c r="AF44" s="11">
        <f>Inputs_Assumptions!$B$6</f>
        <v>0.18</v>
      </c>
      <c r="AG44" s="14">
        <f>Inputs_Assumptions!$B$4</f>
        <v>83</v>
      </c>
      <c r="AH44" s="12"/>
      <c r="AI44" s="15"/>
      <c r="AJ44" s="16">
        <f t="shared" si="15"/>
        <v>246.61999999999998</v>
      </c>
      <c r="AK44" s="11">
        <f>Inputs_Assumptions!$B$9</f>
        <v>0.35</v>
      </c>
      <c r="AL44" s="16">
        <f t="shared" si="16"/>
        <v>379.41538461538454</v>
      </c>
      <c r="AM44" s="11">
        <f>Inputs_Assumptions!$B$8</f>
        <v>0.18</v>
      </c>
      <c r="AN44" s="11" t="str">
        <f t="shared" si="17"/>
        <v/>
      </c>
      <c r="AO44" s="17" t="s">
        <v>139</v>
      </c>
      <c r="AP44" s="17">
        <v>20</v>
      </c>
      <c r="AQ44" s="17">
        <v>20</v>
      </c>
      <c r="AR44" s="17">
        <v>40</v>
      </c>
      <c r="AS44" s="17">
        <v>6</v>
      </c>
      <c r="AT44" s="10"/>
      <c r="AU44" s="29" t="s">
        <v>140</v>
      </c>
      <c r="AV44" s="10"/>
      <c r="AW44" t="s">
        <v>8</v>
      </c>
      <c r="BC44" s="30" t="s">
        <v>140</v>
      </c>
      <c r="BD44" t="s">
        <v>394</v>
      </c>
      <c r="BE44" t="s">
        <v>395</v>
      </c>
      <c r="BF44" t="s">
        <v>396</v>
      </c>
      <c r="BG44" t="s">
        <v>397</v>
      </c>
      <c r="BM44" s="31">
        <v>59</v>
      </c>
      <c r="BN44" t="s">
        <v>398</v>
      </c>
      <c r="BO44" t="s">
        <v>698</v>
      </c>
      <c r="BP44" t="s">
        <v>394</v>
      </c>
      <c r="BQ44" t="s">
        <v>395</v>
      </c>
      <c r="BR44" t="s">
        <v>396</v>
      </c>
      <c r="BS44" t="s">
        <v>397</v>
      </c>
      <c r="BT44" s="30" t="s">
        <v>140</v>
      </c>
      <c r="BU44" t="s">
        <v>699</v>
      </c>
      <c r="BV44" s="9" t="s">
        <v>572</v>
      </c>
      <c r="BW44" s="9" t="s">
        <v>210</v>
      </c>
      <c r="BX44" s="9" t="s">
        <v>310</v>
      </c>
      <c r="BY44" s="9" t="s">
        <v>700</v>
      </c>
      <c r="BZ44" s="9" t="s">
        <v>312</v>
      </c>
      <c r="CA44" s="9" t="s">
        <v>146</v>
      </c>
      <c r="CB44" s="9" t="s">
        <v>404</v>
      </c>
      <c r="CC44" s="9" t="s">
        <v>405</v>
      </c>
      <c r="CD44" s="9" t="s">
        <v>698</v>
      </c>
      <c r="CE44" s="9" t="s">
        <v>406</v>
      </c>
      <c r="CF44" s="9"/>
      <c r="CG44" s="9"/>
      <c r="CH44" s="9" t="s">
        <v>407</v>
      </c>
      <c r="CI44" s="9" t="s">
        <v>150</v>
      </c>
      <c r="CJ44" s="9">
        <v>7</v>
      </c>
      <c r="CK44" s="9" t="s">
        <v>313</v>
      </c>
      <c r="CL44" s="9" t="s">
        <v>152</v>
      </c>
      <c r="CM44" s="9" t="s">
        <v>314</v>
      </c>
      <c r="CN44" s="9" t="s">
        <v>410</v>
      </c>
      <c r="CO44" s="9" t="s">
        <v>407</v>
      </c>
      <c r="CP44" s="9" t="s">
        <v>394</v>
      </c>
      <c r="CQ44" s="9" t="s">
        <v>701</v>
      </c>
      <c r="CR44" s="9" t="s">
        <v>155</v>
      </c>
      <c r="CS44" s="9" t="s">
        <v>660</v>
      </c>
      <c r="CT44" t="s">
        <v>157</v>
      </c>
      <c r="CU44">
        <v>33.5</v>
      </c>
      <c r="CV44" t="s">
        <v>702</v>
      </c>
    </row>
    <row r="45" spans="1:100" ht="45" customHeight="1" x14ac:dyDescent="0.3">
      <c r="A45" s="9" t="s">
        <v>703</v>
      </c>
      <c r="B45" s="9" t="s">
        <v>704</v>
      </c>
      <c r="C45" s="9" t="s">
        <v>127</v>
      </c>
      <c r="D45" s="10" t="s">
        <v>705</v>
      </c>
      <c r="E45" s="9" t="s">
        <v>706</v>
      </c>
      <c r="F45" s="9" t="s">
        <v>707</v>
      </c>
      <c r="G45" s="10" t="s">
        <v>708</v>
      </c>
      <c r="H45" s="10" t="s">
        <v>709</v>
      </c>
      <c r="I45" s="10" t="s">
        <v>710</v>
      </c>
      <c r="J45" s="10" t="s">
        <v>711</v>
      </c>
      <c r="K45" s="9" t="s">
        <v>194</v>
      </c>
      <c r="L45" s="10" t="s">
        <v>194</v>
      </c>
      <c r="M45" s="26">
        <v>339</v>
      </c>
      <c r="N45" s="26">
        <v>530</v>
      </c>
      <c r="O45" s="27">
        <v>0.3604</v>
      </c>
      <c r="P45" s="12"/>
      <c r="Q45" s="13" t="str">
        <f t="shared" si="10"/>
        <v>Amazon search</v>
      </c>
      <c r="R45" s="28">
        <v>339</v>
      </c>
      <c r="S45" s="13" t="s">
        <v>712</v>
      </c>
      <c r="T45" s="12"/>
      <c r="U45" s="13" t="str">
        <f t="shared" si="11"/>
        <v>Alibaba search</v>
      </c>
      <c r="V45" s="12"/>
      <c r="W45" s="13" t="str">
        <f t="shared" si="12"/>
        <v>LCSC search</v>
      </c>
      <c r="X45" s="12"/>
      <c r="Y45" s="13" t="str">
        <f t="shared" si="13"/>
        <v>Mouser search</v>
      </c>
      <c r="Z45" s="12"/>
      <c r="AA45" s="13" t="str">
        <f t="shared" si="14"/>
        <v>DigiKey search</v>
      </c>
      <c r="AB45" s="9"/>
      <c r="AC45" s="9">
        <f>Inputs_Assumptions!$B$7</f>
        <v>150</v>
      </c>
      <c r="AD45" s="9">
        <f>Inputs_Assumptions!$B$7</f>
        <v>150</v>
      </c>
      <c r="AE45" s="11">
        <f>Inputs_Assumptions!$B$5</f>
        <v>0.1</v>
      </c>
      <c r="AF45" s="11">
        <f>Inputs_Assumptions!$B$6</f>
        <v>0.18</v>
      </c>
      <c r="AG45" s="14">
        <f>Inputs_Assumptions!$B$4</f>
        <v>83</v>
      </c>
      <c r="AH45" s="12"/>
      <c r="AI45" s="15"/>
      <c r="AJ45" s="16">
        <f t="shared" si="15"/>
        <v>577.02</v>
      </c>
      <c r="AK45" s="11">
        <f>Inputs_Assumptions!$B$9</f>
        <v>0.35</v>
      </c>
      <c r="AL45" s="16">
        <f t="shared" si="16"/>
        <v>887.72307692307686</v>
      </c>
      <c r="AM45" s="11">
        <f>Inputs_Assumptions!$B$8</f>
        <v>0.18</v>
      </c>
      <c r="AN45" s="11" t="str">
        <f t="shared" si="17"/>
        <v/>
      </c>
      <c r="AO45" s="17" t="s">
        <v>139</v>
      </c>
      <c r="AP45" s="17">
        <v>20</v>
      </c>
      <c r="AQ45" s="17">
        <v>20</v>
      </c>
      <c r="AR45" s="17">
        <v>40</v>
      </c>
      <c r="AS45" s="17">
        <v>6</v>
      </c>
      <c r="AT45" s="10"/>
      <c r="AU45" s="29" t="s">
        <v>140</v>
      </c>
      <c r="AV45" s="10" t="s">
        <v>631</v>
      </c>
      <c r="AW45" t="s">
        <v>8</v>
      </c>
      <c r="BC45" s="30" t="s">
        <v>140</v>
      </c>
      <c r="BD45" t="s">
        <v>394</v>
      </c>
      <c r="BE45" t="s">
        <v>395</v>
      </c>
      <c r="BF45" t="s">
        <v>396</v>
      </c>
      <c r="BG45" t="s">
        <v>397</v>
      </c>
      <c r="BM45" s="31">
        <v>339</v>
      </c>
      <c r="BN45" t="s">
        <v>398</v>
      </c>
      <c r="BO45" t="s">
        <v>712</v>
      </c>
      <c r="BP45" t="s">
        <v>394</v>
      </c>
      <c r="BQ45" t="s">
        <v>395</v>
      </c>
      <c r="BR45" t="s">
        <v>396</v>
      </c>
      <c r="BS45" t="s">
        <v>397</v>
      </c>
      <c r="BT45" s="30" t="s">
        <v>140</v>
      </c>
      <c r="BV45" s="9" t="s">
        <v>572</v>
      </c>
      <c r="BW45" s="9" t="s">
        <v>210</v>
      </c>
      <c r="BX45" s="9" t="s">
        <v>310</v>
      </c>
      <c r="BY45" s="9" t="s">
        <v>713</v>
      </c>
      <c r="BZ45" s="9" t="s">
        <v>312</v>
      </c>
      <c r="CA45" s="9" t="s">
        <v>146</v>
      </c>
      <c r="CB45" s="9" t="s">
        <v>404</v>
      </c>
      <c r="CC45" s="9" t="s">
        <v>405</v>
      </c>
      <c r="CD45" s="9" t="s">
        <v>712</v>
      </c>
      <c r="CE45" s="9" t="s">
        <v>406</v>
      </c>
      <c r="CF45" s="9"/>
      <c r="CG45" s="9"/>
      <c r="CH45" s="9" t="s">
        <v>407</v>
      </c>
      <c r="CI45" s="9" t="s">
        <v>150</v>
      </c>
      <c r="CJ45" s="9">
        <v>7</v>
      </c>
      <c r="CK45" s="9" t="s">
        <v>408</v>
      </c>
      <c r="CL45" s="9" t="s">
        <v>152</v>
      </c>
      <c r="CM45" s="9" t="s">
        <v>409</v>
      </c>
      <c r="CN45" s="9" t="s">
        <v>410</v>
      </c>
      <c r="CO45" s="9" t="s">
        <v>407</v>
      </c>
      <c r="CP45" s="9" t="s">
        <v>394</v>
      </c>
      <c r="CQ45" s="9" t="s">
        <v>714</v>
      </c>
      <c r="CR45" s="9" t="s">
        <v>155</v>
      </c>
      <c r="CS45" s="9" t="s">
        <v>660</v>
      </c>
      <c r="CT45" t="s">
        <v>157</v>
      </c>
      <c r="CU45">
        <v>39.4</v>
      </c>
      <c r="CV45" t="s">
        <v>715</v>
      </c>
    </row>
    <row r="46" spans="1:100" ht="45" customHeight="1" x14ac:dyDescent="0.3">
      <c r="A46" s="9" t="s">
        <v>716</v>
      </c>
      <c r="B46" s="9" t="s">
        <v>704</v>
      </c>
      <c r="C46" s="9" t="s">
        <v>127</v>
      </c>
      <c r="D46" s="10" t="s">
        <v>717</v>
      </c>
      <c r="E46" s="9" t="s">
        <v>651</v>
      </c>
      <c r="F46" s="9" t="s">
        <v>718</v>
      </c>
      <c r="G46" s="10" t="s">
        <v>719</v>
      </c>
      <c r="H46" s="10" t="s">
        <v>720</v>
      </c>
      <c r="I46" s="10" t="s">
        <v>721</v>
      </c>
      <c r="J46" s="10" t="s">
        <v>711</v>
      </c>
      <c r="K46" s="9" t="s">
        <v>194</v>
      </c>
      <c r="L46" s="10" t="s">
        <v>194</v>
      </c>
      <c r="M46" s="26">
        <v>284</v>
      </c>
      <c r="N46" s="26">
        <v>440</v>
      </c>
      <c r="O46" s="27">
        <v>0.35449999999999998</v>
      </c>
      <c r="P46" s="12"/>
      <c r="Q46" s="13" t="str">
        <f t="shared" si="10"/>
        <v>Amazon search</v>
      </c>
      <c r="R46" s="28">
        <v>284</v>
      </c>
      <c r="S46" s="13" t="s">
        <v>722</v>
      </c>
      <c r="T46" s="12"/>
      <c r="U46" s="13" t="str">
        <f t="shared" si="11"/>
        <v>Alibaba search</v>
      </c>
      <c r="V46" s="12"/>
      <c r="W46" s="13" t="str">
        <f t="shared" si="12"/>
        <v>LCSC search</v>
      </c>
      <c r="X46" s="12"/>
      <c r="Y46" s="13" t="str">
        <f t="shared" si="13"/>
        <v>Mouser search</v>
      </c>
      <c r="Z46" s="12"/>
      <c r="AA46" s="13" t="str">
        <f t="shared" si="14"/>
        <v>DigiKey search</v>
      </c>
      <c r="AB46" s="9"/>
      <c r="AC46" s="9">
        <f>Inputs_Assumptions!$B$7</f>
        <v>150</v>
      </c>
      <c r="AD46" s="9">
        <f>Inputs_Assumptions!$B$7</f>
        <v>150</v>
      </c>
      <c r="AE46" s="11">
        <f>Inputs_Assumptions!$B$5</f>
        <v>0.1</v>
      </c>
      <c r="AF46" s="11">
        <f>Inputs_Assumptions!$B$6</f>
        <v>0.18</v>
      </c>
      <c r="AG46" s="14">
        <f>Inputs_Assumptions!$B$4</f>
        <v>83</v>
      </c>
      <c r="AH46" s="12"/>
      <c r="AI46" s="15"/>
      <c r="AJ46" s="16">
        <f t="shared" si="15"/>
        <v>512.12</v>
      </c>
      <c r="AK46" s="11">
        <f>Inputs_Assumptions!$B$9</f>
        <v>0.35</v>
      </c>
      <c r="AL46" s="16">
        <f t="shared" si="16"/>
        <v>787.87692307692305</v>
      </c>
      <c r="AM46" s="11">
        <f>Inputs_Assumptions!$B$8</f>
        <v>0.18</v>
      </c>
      <c r="AN46" s="11" t="str">
        <f t="shared" si="17"/>
        <v/>
      </c>
      <c r="AO46" s="17" t="s">
        <v>139</v>
      </c>
      <c r="AP46" s="17">
        <v>10</v>
      </c>
      <c r="AQ46" s="17">
        <v>10</v>
      </c>
      <c r="AR46" s="17">
        <v>20</v>
      </c>
      <c r="AS46" s="17">
        <v>3</v>
      </c>
      <c r="AT46" s="10"/>
      <c r="AU46" s="29" t="s">
        <v>140</v>
      </c>
      <c r="AV46" s="10"/>
      <c r="AW46" t="s">
        <v>8</v>
      </c>
      <c r="BC46" s="30" t="s">
        <v>140</v>
      </c>
      <c r="BD46" t="s">
        <v>394</v>
      </c>
      <c r="BE46" t="s">
        <v>395</v>
      </c>
      <c r="BF46" t="s">
        <v>396</v>
      </c>
      <c r="BG46" t="s">
        <v>397</v>
      </c>
      <c r="BM46" s="31">
        <v>284</v>
      </c>
      <c r="BN46" t="s">
        <v>398</v>
      </c>
      <c r="BO46" t="s">
        <v>722</v>
      </c>
      <c r="BP46" t="s">
        <v>394</v>
      </c>
      <c r="BQ46" t="s">
        <v>395</v>
      </c>
      <c r="BR46" t="s">
        <v>396</v>
      </c>
      <c r="BS46" t="s">
        <v>397</v>
      </c>
      <c r="BT46" s="30" t="s">
        <v>140</v>
      </c>
      <c r="BV46" s="9" t="s">
        <v>632</v>
      </c>
      <c r="BW46" s="9" t="s">
        <v>210</v>
      </c>
      <c r="BX46" s="9" t="s">
        <v>310</v>
      </c>
      <c r="BY46" s="9" t="s">
        <v>723</v>
      </c>
      <c r="BZ46" s="9" t="s">
        <v>312</v>
      </c>
      <c r="CA46" s="9" t="s">
        <v>146</v>
      </c>
      <c r="CB46" s="9" t="s">
        <v>404</v>
      </c>
      <c r="CC46" s="9" t="s">
        <v>405</v>
      </c>
      <c r="CD46" s="9" t="s">
        <v>722</v>
      </c>
      <c r="CE46" s="9" t="s">
        <v>406</v>
      </c>
      <c r="CF46" s="9"/>
      <c r="CG46" s="9"/>
      <c r="CH46" s="9" t="s">
        <v>407</v>
      </c>
      <c r="CI46" s="9" t="s">
        <v>150</v>
      </c>
      <c r="CJ46" s="9">
        <v>7</v>
      </c>
      <c r="CK46" s="9" t="s">
        <v>151</v>
      </c>
      <c r="CL46" s="9" t="s">
        <v>152</v>
      </c>
      <c r="CM46" s="9" t="s">
        <v>153</v>
      </c>
      <c r="CN46" s="9" t="s">
        <v>410</v>
      </c>
      <c r="CO46" s="9" t="s">
        <v>407</v>
      </c>
      <c r="CP46" s="9" t="s">
        <v>394</v>
      </c>
      <c r="CQ46" s="9" t="s">
        <v>724</v>
      </c>
      <c r="CR46" s="9" t="s">
        <v>155</v>
      </c>
      <c r="CS46" s="9" t="s">
        <v>635</v>
      </c>
      <c r="CT46" t="s">
        <v>157</v>
      </c>
      <c r="CU46">
        <v>33.4</v>
      </c>
      <c r="CV46" t="s">
        <v>725</v>
      </c>
    </row>
    <row r="47" spans="1:100" ht="45" hidden="1" customHeight="1" x14ac:dyDescent="0.3">
      <c r="A47" s="9" t="s">
        <v>726</v>
      </c>
      <c r="B47" s="9" t="s">
        <v>704</v>
      </c>
      <c r="C47" s="9" t="s">
        <v>127</v>
      </c>
      <c r="D47" s="10" t="s">
        <v>727</v>
      </c>
      <c r="E47" s="9" t="s">
        <v>728</v>
      </c>
      <c r="F47" s="9" t="s">
        <v>729</v>
      </c>
      <c r="G47" s="10" t="s">
        <v>730</v>
      </c>
      <c r="H47" s="10" t="s">
        <v>731</v>
      </c>
      <c r="I47" s="10" t="s">
        <v>732</v>
      </c>
      <c r="J47" s="10" t="s">
        <v>595</v>
      </c>
      <c r="K47" s="9" t="s">
        <v>194</v>
      </c>
      <c r="L47" s="10" t="s">
        <v>194</v>
      </c>
      <c r="M47" s="26">
        <v>359</v>
      </c>
      <c r="N47" s="26">
        <v>560</v>
      </c>
      <c r="O47" s="27">
        <v>0.3589</v>
      </c>
      <c r="P47" s="12"/>
      <c r="Q47" s="13" t="str">
        <f t="shared" si="10"/>
        <v>Amazon search</v>
      </c>
      <c r="R47" s="28">
        <v>359</v>
      </c>
      <c r="S47" s="13" t="s">
        <v>733</v>
      </c>
      <c r="T47" s="12"/>
      <c r="U47" s="13" t="str">
        <f t="shared" si="11"/>
        <v>Alibaba search</v>
      </c>
      <c r="V47" s="12"/>
      <c r="W47" s="13" t="str">
        <f t="shared" si="12"/>
        <v>LCSC search</v>
      </c>
      <c r="X47" s="12"/>
      <c r="Y47" s="13" t="str">
        <f t="shared" si="13"/>
        <v>Mouser search</v>
      </c>
      <c r="Z47" s="12"/>
      <c r="AA47" s="13" t="str">
        <f t="shared" si="14"/>
        <v>DigiKey search</v>
      </c>
      <c r="AB47" s="9"/>
      <c r="AC47" s="9">
        <f>Inputs_Assumptions!$B$7</f>
        <v>150</v>
      </c>
      <c r="AD47" s="9">
        <f>Inputs_Assumptions!$B$7</f>
        <v>150</v>
      </c>
      <c r="AE47" s="11">
        <f>Inputs_Assumptions!$B$5</f>
        <v>0.1</v>
      </c>
      <c r="AF47" s="11">
        <f>Inputs_Assumptions!$B$6</f>
        <v>0.18</v>
      </c>
      <c r="AG47" s="14">
        <f>Inputs_Assumptions!$B$4</f>
        <v>83</v>
      </c>
      <c r="AH47" s="12"/>
      <c r="AI47" s="15"/>
      <c r="AJ47" s="16">
        <f t="shared" si="15"/>
        <v>600.62</v>
      </c>
      <c r="AK47" s="11">
        <f>Inputs_Assumptions!$B$9</f>
        <v>0.35</v>
      </c>
      <c r="AL47" s="16">
        <f t="shared" si="16"/>
        <v>924.03076923076924</v>
      </c>
      <c r="AM47" s="11">
        <f>Inputs_Assumptions!$B$8</f>
        <v>0.18</v>
      </c>
      <c r="AN47" s="11" t="str">
        <f t="shared" si="17"/>
        <v/>
      </c>
      <c r="AO47" s="17" t="s">
        <v>168</v>
      </c>
      <c r="AP47" s="17">
        <v>10</v>
      </c>
      <c r="AQ47" s="17">
        <v>10</v>
      </c>
      <c r="AR47" s="17">
        <v>20</v>
      </c>
      <c r="AS47" s="17">
        <v>3</v>
      </c>
      <c r="AT47" s="10"/>
      <c r="AU47" s="29" t="s">
        <v>140</v>
      </c>
      <c r="AV47" s="10" t="s">
        <v>631</v>
      </c>
      <c r="AW47" t="s">
        <v>8</v>
      </c>
      <c r="BC47" s="30" t="s">
        <v>140</v>
      </c>
      <c r="BD47" t="s">
        <v>394</v>
      </c>
      <c r="BE47" t="s">
        <v>395</v>
      </c>
      <c r="BF47" t="s">
        <v>396</v>
      </c>
      <c r="BG47" t="s">
        <v>397</v>
      </c>
      <c r="BM47" s="31">
        <v>359</v>
      </c>
      <c r="BN47" t="s">
        <v>398</v>
      </c>
      <c r="BO47" t="s">
        <v>733</v>
      </c>
      <c r="BP47" t="s">
        <v>394</v>
      </c>
      <c r="BQ47" t="s">
        <v>395</v>
      </c>
      <c r="BR47" t="s">
        <v>396</v>
      </c>
      <c r="BS47" t="s">
        <v>397</v>
      </c>
      <c r="BT47" s="30" t="s">
        <v>140</v>
      </c>
      <c r="BV47" s="9" t="s">
        <v>572</v>
      </c>
      <c r="BW47" s="9" t="s">
        <v>210</v>
      </c>
      <c r="BX47" s="9" t="s">
        <v>310</v>
      </c>
      <c r="BY47" s="9" t="s">
        <v>734</v>
      </c>
      <c r="BZ47" s="9" t="s">
        <v>312</v>
      </c>
      <c r="CA47" s="9" t="s">
        <v>146</v>
      </c>
      <c r="CB47" s="9" t="s">
        <v>404</v>
      </c>
      <c r="CC47" s="9" t="s">
        <v>405</v>
      </c>
      <c r="CD47" s="9" t="s">
        <v>733</v>
      </c>
      <c r="CE47" s="9" t="s">
        <v>406</v>
      </c>
      <c r="CF47" s="9"/>
      <c r="CG47" s="9"/>
      <c r="CH47" s="9" t="s">
        <v>407</v>
      </c>
      <c r="CI47" s="9" t="s">
        <v>150</v>
      </c>
      <c r="CJ47" s="9">
        <v>7</v>
      </c>
      <c r="CK47" s="9" t="s">
        <v>408</v>
      </c>
      <c r="CL47" s="9" t="s">
        <v>152</v>
      </c>
      <c r="CM47" s="9" t="s">
        <v>409</v>
      </c>
      <c r="CN47" s="9" t="s">
        <v>410</v>
      </c>
      <c r="CO47" s="9" t="s">
        <v>407</v>
      </c>
      <c r="CP47" s="9" t="s">
        <v>394</v>
      </c>
      <c r="CQ47" s="9" t="s">
        <v>735</v>
      </c>
      <c r="CR47" s="9" t="s">
        <v>155</v>
      </c>
      <c r="CS47" s="9" t="s">
        <v>660</v>
      </c>
      <c r="CT47" t="s">
        <v>173</v>
      </c>
      <c r="CU47">
        <v>27.4</v>
      </c>
      <c r="CV47" t="s">
        <v>736</v>
      </c>
    </row>
    <row r="48" spans="1:100" ht="45" hidden="1" customHeight="1" x14ac:dyDescent="0.3">
      <c r="A48" s="9" t="s">
        <v>737</v>
      </c>
      <c r="B48" s="9" t="s">
        <v>704</v>
      </c>
      <c r="C48" s="9" t="s">
        <v>127</v>
      </c>
      <c r="D48" s="10" t="s">
        <v>738</v>
      </c>
      <c r="E48" s="9" t="s">
        <v>739</v>
      </c>
      <c r="F48" s="9" t="s">
        <v>740</v>
      </c>
      <c r="G48" s="10" t="s">
        <v>741</v>
      </c>
      <c r="H48" s="10" t="s">
        <v>742</v>
      </c>
      <c r="I48" s="10" t="s">
        <v>743</v>
      </c>
      <c r="J48" s="10" t="s">
        <v>595</v>
      </c>
      <c r="K48" s="9" t="s">
        <v>194</v>
      </c>
      <c r="L48" s="10" t="s">
        <v>194</v>
      </c>
      <c r="M48" s="26">
        <v>699</v>
      </c>
      <c r="N48" s="26">
        <v>1080</v>
      </c>
      <c r="O48" s="27">
        <v>0.3528</v>
      </c>
      <c r="P48" s="12"/>
      <c r="Q48" s="13" t="str">
        <f t="shared" si="10"/>
        <v>Amazon search</v>
      </c>
      <c r="R48" s="28">
        <v>699</v>
      </c>
      <c r="S48" s="13" t="s">
        <v>744</v>
      </c>
      <c r="T48" s="12"/>
      <c r="U48" s="13" t="str">
        <f t="shared" si="11"/>
        <v>Alibaba search</v>
      </c>
      <c r="V48" s="12"/>
      <c r="W48" s="13" t="str">
        <f t="shared" si="12"/>
        <v>LCSC search</v>
      </c>
      <c r="X48" s="12"/>
      <c r="Y48" s="13" t="str">
        <f t="shared" si="13"/>
        <v>Mouser search</v>
      </c>
      <c r="Z48" s="12"/>
      <c r="AA48" s="13" t="str">
        <f t="shared" si="14"/>
        <v>DigiKey search</v>
      </c>
      <c r="AB48" s="9"/>
      <c r="AC48" s="9">
        <f>Inputs_Assumptions!$B$7</f>
        <v>150</v>
      </c>
      <c r="AD48" s="9">
        <f>Inputs_Assumptions!$B$7</f>
        <v>150</v>
      </c>
      <c r="AE48" s="11">
        <f>Inputs_Assumptions!$B$5</f>
        <v>0.1</v>
      </c>
      <c r="AF48" s="11">
        <f>Inputs_Assumptions!$B$6</f>
        <v>0.18</v>
      </c>
      <c r="AG48" s="14">
        <f>Inputs_Assumptions!$B$4</f>
        <v>83</v>
      </c>
      <c r="AH48" s="12"/>
      <c r="AI48" s="15"/>
      <c r="AJ48" s="16">
        <f t="shared" si="15"/>
        <v>1001.8199999999999</v>
      </c>
      <c r="AK48" s="11">
        <f>Inputs_Assumptions!$B$9</f>
        <v>0.35</v>
      </c>
      <c r="AL48" s="16">
        <f t="shared" si="16"/>
        <v>1541.2615384615383</v>
      </c>
      <c r="AM48" s="11">
        <f>Inputs_Assumptions!$B$8</f>
        <v>0.18</v>
      </c>
      <c r="AN48" s="11" t="str">
        <f t="shared" si="17"/>
        <v/>
      </c>
      <c r="AO48" s="17" t="s">
        <v>168</v>
      </c>
      <c r="AP48" s="17"/>
      <c r="AQ48" s="17"/>
      <c r="AR48" s="17"/>
      <c r="AS48" s="17"/>
      <c r="AT48" s="10"/>
      <c r="AU48" s="29" t="s">
        <v>140</v>
      </c>
      <c r="AV48" s="10"/>
      <c r="AW48" t="s">
        <v>8</v>
      </c>
      <c r="BC48" s="30" t="s">
        <v>140</v>
      </c>
      <c r="BD48" t="s">
        <v>394</v>
      </c>
      <c r="BE48" t="s">
        <v>395</v>
      </c>
      <c r="BF48" t="s">
        <v>396</v>
      </c>
      <c r="BG48" t="s">
        <v>397</v>
      </c>
      <c r="BM48" s="31">
        <v>699</v>
      </c>
      <c r="BN48" t="s">
        <v>398</v>
      </c>
      <c r="BO48" t="s">
        <v>744</v>
      </c>
      <c r="BP48" t="s">
        <v>394</v>
      </c>
      <c r="BQ48" t="s">
        <v>395</v>
      </c>
      <c r="BR48" t="s">
        <v>396</v>
      </c>
      <c r="BS48" t="s">
        <v>397</v>
      </c>
      <c r="BT48" s="30" t="s">
        <v>140</v>
      </c>
      <c r="BU48" t="s">
        <v>745</v>
      </c>
      <c r="BV48" s="9" t="s">
        <v>572</v>
      </c>
      <c r="BW48" s="9" t="s">
        <v>210</v>
      </c>
      <c r="BX48" s="9" t="s">
        <v>310</v>
      </c>
      <c r="BY48" s="9" t="s">
        <v>746</v>
      </c>
      <c r="BZ48" s="9" t="s">
        <v>312</v>
      </c>
      <c r="CA48" s="9" t="s">
        <v>146</v>
      </c>
      <c r="CB48" s="9" t="s">
        <v>404</v>
      </c>
      <c r="CC48" s="9" t="s">
        <v>405</v>
      </c>
      <c r="CD48" s="9" t="s">
        <v>744</v>
      </c>
      <c r="CE48" s="9" t="s">
        <v>406</v>
      </c>
      <c r="CF48" s="9"/>
      <c r="CG48" s="9"/>
      <c r="CH48" s="9" t="s">
        <v>407</v>
      </c>
      <c r="CI48" s="9" t="s">
        <v>150</v>
      </c>
      <c r="CJ48" s="9">
        <v>7</v>
      </c>
      <c r="CK48" s="9" t="s">
        <v>408</v>
      </c>
      <c r="CL48" s="9" t="s">
        <v>152</v>
      </c>
      <c r="CM48" s="9" t="s">
        <v>409</v>
      </c>
      <c r="CN48" s="9" t="s">
        <v>410</v>
      </c>
      <c r="CO48" s="9" t="s">
        <v>407</v>
      </c>
      <c r="CP48" s="9" t="s">
        <v>394</v>
      </c>
      <c r="CQ48" s="9" t="s">
        <v>747</v>
      </c>
      <c r="CR48" s="9" t="s">
        <v>155</v>
      </c>
      <c r="CS48" s="9" t="s">
        <v>660</v>
      </c>
      <c r="CT48" t="s">
        <v>173</v>
      </c>
      <c r="CU48">
        <v>21.4</v>
      </c>
      <c r="CV48" t="s">
        <v>693</v>
      </c>
    </row>
    <row r="49" spans="1:100" ht="45" hidden="1" customHeight="1" x14ac:dyDescent="0.3">
      <c r="A49" s="9" t="s">
        <v>748</v>
      </c>
      <c r="B49" s="9" t="s">
        <v>704</v>
      </c>
      <c r="C49" s="9" t="s">
        <v>127</v>
      </c>
      <c r="D49" s="10" t="s">
        <v>749</v>
      </c>
      <c r="E49" s="9" t="s">
        <v>739</v>
      </c>
      <c r="F49" s="9" t="s">
        <v>750</v>
      </c>
      <c r="G49" s="10"/>
      <c r="H49" s="10" t="s">
        <v>751</v>
      </c>
      <c r="I49" s="10" t="s">
        <v>732</v>
      </c>
      <c r="J49" s="10" t="s">
        <v>595</v>
      </c>
      <c r="K49" s="9" t="s">
        <v>194</v>
      </c>
      <c r="L49" s="10" t="s">
        <v>194</v>
      </c>
      <c r="M49" s="26">
        <v>700</v>
      </c>
      <c r="N49" s="26">
        <v>1000</v>
      </c>
      <c r="O49" s="11">
        <f>IF(AND(M49&lt;&gt;"",N49&lt;&gt;""),(N49-M49)/N49,"")</f>
        <v>0.3</v>
      </c>
      <c r="P49" s="12"/>
      <c r="Q49" s="13" t="str">
        <f t="shared" si="10"/>
        <v>Amazon search</v>
      </c>
      <c r="R49" s="12"/>
      <c r="S49" s="13" t="str">
        <f>HYPERLINK("https://robu.in/?s="&amp;SUBSTITUTE($D49," ","+")&amp;"&amp;post_type=product","Robu search")</f>
        <v>Robu search</v>
      </c>
      <c r="T49" s="12"/>
      <c r="U49" s="13" t="str">
        <f t="shared" si="11"/>
        <v>Alibaba search</v>
      </c>
      <c r="V49" s="12"/>
      <c r="W49" s="13" t="str">
        <f t="shared" si="12"/>
        <v>LCSC search</v>
      </c>
      <c r="X49" s="12"/>
      <c r="Y49" s="13" t="str">
        <f t="shared" si="13"/>
        <v>Mouser search</v>
      </c>
      <c r="Z49" s="12"/>
      <c r="AA49" s="13" t="str">
        <f t="shared" si="14"/>
        <v>DigiKey search</v>
      </c>
      <c r="AB49" s="9"/>
      <c r="AC49" s="9">
        <f>Inputs_Assumptions!$B$7</f>
        <v>150</v>
      </c>
      <c r="AD49" s="9">
        <f>Inputs_Assumptions!$B$7</f>
        <v>150</v>
      </c>
      <c r="AE49" s="11">
        <f>Inputs_Assumptions!$B$5</f>
        <v>0.1</v>
      </c>
      <c r="AF49" s="11">
        <f>Inputs_Assumptions!$B$6</f>
        <v>0.18</v>
      </c>
      <c r="AG49" s="14">
        <f>Inputs_Assumptions!$B$4</f>
        <v>83</v>
      </c>
      <c r="AH49" s="12"/>
      <c r="AI49" s="15"/>
      <c r="AJ49" s="16">
        <f t="shared" si="15"/>
        <v>1003</v>
      </c>
      <c r="AK49" s="11">
        <f>Inputs_Assumptions!$B$9</f>
        <v>0.35</v>
      </c>
      <c r="AL49" s="16">
        <f t="shared" si="16"/>
        <v>1543.0769230769231</v>
      </c>
      <c r="AM49" s="11">
        <f>Inputs_Assumptions!$B$8</f>
        <v>0.18</v>
      </c>
      <c r="AN49" s="11" t="str">
        <f t="shared" si="17"/>
        <v/>
      </c>
      <c r="AO49" s="17" t="s">
        <v>168</v>
      </c>
      <c r="AP49" s="17"/>
      <c r="AQ49" s="17"/>
      <c r="AR49" s="17"/>
      <c r="AS49" s="17"/>
      <c r="AT49" s="10"/>
      <c r="AU49" s="9"/>
      <c r="AV49" s="10"/>
      <c r="AW49" t="s">
        <v>8</v>
      </c>
      <c r="BV49" s="9" t="s">
        <v>752</v>
      </c>
      <c r="BW49" s="9" t="s">
        <v>170</v>
      </c>
      <c r="BX49" s="9" t="s">
        <v>401</v>
      </c>
      <c r="BY49" s="9" t="s">
        <v>753</v>
      </c>
      <c r="BZ49" s="9" t="s">
        <v>403</v>
      </c>
      <c r="CA49" s="9" t="s">
        <v>146</v>
      </c>
      <c r="CB49" s="9" t="s">
        <v>147</v>
      </c>
      <c r="CC49" s="9" t="s">
        <v>148</v>
      </c>
      <c r="CD49" s="9"/>
      <c r="CE49" s="9" t="s">
        <v>149</v>
      </c>
      <c r="CF49" s="9"/>
      <c r="CG49" s="9"/>
      <c r="CH49" s="9" t="s">
        <v>150</v>
      </c>
      <c r="CI49" s="9" t="s">
        <v>150</v>
      </c>
      <c r="CJ49" s="9">
        <v>7</v>
      </c>
      <c r="CK49" s="9" t="s">
        <v>408</v>
      </c>
      <c r="CL49" s="9" t="s">
        <v>152</v>
      </c>
      <c r="CM49" s="9" t="s">
        <v>409</v>
      </c>
      <c r="CN49" s="9" t="s">
        <v>154</v>
      </c>
      <c r="CO49" s="9" t="s">
        <v>150</v>
      </c>
      <c r="CP49" s="9"/>
      <c r="CQ49" s="9"/>
      <c r="CR49" s="9" t="s">
        <v>155</v>
      </c>
      <c r="CS49" s="9" t="s">
        <v>754</v>
      </c>
      <c r="CT49" t="s">
        <v>173</v>
      </c>
      <c r="CU49">
        <v>25.2</v>
      </c>
      <c r="CV49" t="s">
        <v>755</v>
      </c>
    </row>
    <row r="50" spans="1:100" ht="45" customHeight="1" x14ac:dyDescent="0.3">
      <c r="A50" s="9" t="s">
        <v>756</v>
      </c>
      <c r="B50" s="9" t="s">
        <v>757</v>
      </c>
      <c r="C50" s="9" t="s">
        <v>490</v>
      </c>
      <c r="D50" s="10" t="s">
        <v>758</v>
      </c>
      <c r="E50" s="9" t="s">
        <v>759</v>
      </c>
      <c r="F50" s="9" t="s">
        <v>760</v>
      </c>
      <c r="G50" s="10"/>
      <c r="H50" s="10" t="s">
        <v>761</v>
      </c>
      <c r="I50" s="10" t="s">
        <v>762</v>
      </c>
      <c r="J50" s="10" t="s">
        <v>763</v>
      </c>
      <c r="K50" s="9" t="s">
        <v>194</v>
      </c>
      <c r="L50" s="10" t="s">
        <v>194</v>
      </c>
      <c r="M50" s="26">
        <v>107</v>
      </c>
      <c r="N50" s="26">
        <v>170</v>
      </c>
      <c r="O50" s="27">
        <v>0.37059999999999998</v>
      </c>
      <c r="P50" s="12"/>
      <c r="Q50" s="13" t="str">
        <f t="shared" si="10"/>
        <v>Amazon search</v>
      </c>
      <c r="R50" s="28">
        <v>107</v>
      </c>
      <c r="S50" s="13" t="s">
        <v>764</v>
      </c>
      <c r="T50" s="12"/>
      <c r="U50" s="13" t="str">
        <f t="shared" si="11"/>
        <v>Alibaba search</v>
      </c>
      <c r="V50" s="12"/>
      <c r="W50" s="13" t="str">
        <f t="shared" si="12"/>
        <v>LCSC search</v>
      </c>
      <c r="X50" s="12"/>
      <c r="Y50" s="13" t="str">
        <f t="shared" si="13"/>
        <v>Mouser search</v>
      </c>
      <c r="Z50" s="12"/>
      <c r="AA50" s="13" t="str">
        <f t="shared" si="14"/>
        <v>DigiKey search</v>
      </c>
      <c r="AB50" s="9"/>
      <c r="AC50" s="9">
        <f>Inputs_Assumptions!$B$7</f>
        <v>150</v>
      </c>
      <c r="AD50" s="9">
        <f>Inputs_Assumptions!$B$7</f>
        <v>150</v>
      </c>
      <c r="AE50" s="11">
        <f>Inputs_Assumptions!$B$5</f>
        <v>0.1</v>
      </c>
      <c r="AF50" s="11">
        <f>Inputs_Assumptions!$B$6</f>
        <v>0.18</v>
      </c>
      <c r="AG50" s="14">
        <f>Inputs_Assumptions!$B$4</f>
        <v>83</v>
      </c>
      <c r="AH50" s="12"/>
      <c r="AI50" s="15"/>
      <c r="AJ50" s="16">
        <f t="shared" si="15"/>
        <v>303.26</v>
      </c>
      <c r="AK50" s="11">
        <f>Inputs_Assumptions!$B$9</f>
        <v>0.35</v>
      </c>
      <c r="AL50" s="16">
        <f t="shared" si="16"/>
        <v>466.55384615384611</v>
      </c>
      <c r="AM50" s="11">
        <f>Inputs_Assumptions!$B$8</f>
        <v>0.18</v>
      </c>
      <c r="AN50" s="11" t="str">
        <f t="shared" si="17"/>
        <v/>
      </c>
      <c r="AO50" s="17" t="s">
        <v>139</v>
      </c>
      <c r="AP50" s="17">
        <v>30</v>
      </c>
      <c r="AQ50" s="17">
        <v>30</v>
      </c>
      <c r="AR50" s="17">
        <v>60</v>
      </c>
      <c r="AS50" s="17">
        <v>9</v>
      </c>
      <c r="AT50" s="10"/>
      <c r="AU50" s="29" t="s">
        <v>140</v>
      </c>
      <c r="AV50" s="10"/>
      <c r="AW50" t="s">
        <v>8</v>
      </c>
      <c r="BC50" s="30" t="s">
        <v>140</v>
      </c>
      <c r="BD50" t="s">
        <v>394</v>
      </c>
      <c r="BE50" t="s">
        <v>395</v>
      </c>
      <c r="BF50" t="s">
        <v>396</v>
      </c>
      <c r="BG50" t="s">
        <v>397</v>
      </c>
      <c r="BM50" s="31">
        <v>107</v>
      </c>
      <c r="BN50" t="s">
        <v>398</v>
      </c>
      <c r="BO50" t="s">
        <v>764</v>
      </c>
      <c r="BP50" t="s">
        <v>394</v>
      </c>
      <c r="BQ50" t="s">
        <v>395</v>
      </c>
      <c r="BR50" t="s">
        <v>396</v>
      </c>
      <c r="BS50" t="s">
        <v>397</v>
      </c>
      <c r="BT50" s="30" t="s">
        <v>140</v>
      </c>
      <c r="BV50" s="9" t="s">
        <v>765</v>
      </c>
      <c r="BW50" s="9" t="s">
        <v>210</v>
      </c>
      <c r="BX50" s="9" t="s">
        <v>310</v>
      </c>
      <c r="BY50" s="9" t="s">
        <v>766</v>
      </c>
      <c r="BZ50" s="9" t="s">
        <v>312</v>
      </c>
      <c r="CA50" s="9" t="s">
        <v>146</v>
      </c>
      <c r="CB50" s="9" t="s">
        <v>404</v>
      </c>
      <c r="CC50" s="9" t="s">
        <v>405</v>
      </c>
      <c r="CD50" s="9" t="s">
        <v>764</v>
      </c>
      <c r="CE50" s="9" t="s">
        <v>406</v>
      </c>
      <c r="CF50" s="9"/>
      <c r="CG50" s="9"/>
      <c r="CH50" s="9" t="s">
        <v>407</v>
      </c>
      <c r="CI50" s="9" t="s">
        <v>150</v>
      </c>
      <c r="CJ50" s="9">
        <v>7</v>
      </c>
      <c r="CK50" s="9" t="s">
        <v>313</v>
      </c>
      <c r="CL50" s="9" t="s">
        <v>152</v>
      </c>
      <c r="CM50" s="9" t="s">
        <v>314</v>
      </c>
      <c r="CN50" s="9" t="s">
        <v>410</v>
      </c>
      <c r="CO50" s="9" t="s">
        <v>407</v>
      </c>
      <c r="CP50" s="9" t="s">
        <v>394</v>
      </c>
      <c r="CQ50" s="9" t="s">
        <v>767</v>
      </c>
      <c r="CR50" s="9" t="s">
        <v>155</v>
      </c>
      <c r="CS50" s="9" t="s">
        <v>768</v>
      </c>
      <c r="CT50" t="s">
        <v>157</v>
      </c>
      <c r="CU50">
        <v>39.4</v>
      </c>
      <c r="CV50" t="s">
        <v>636</v>
      </c>
    </row>
    <row r="51" spans="1:100" ht="45" hidden="1" customHeight="1" x14ac:dyDescent="0.3">
      <c r="A51" s="9" t="s">
        <v>769</v>
      </c>
      <c r="B51" s="9" t="s">
        <v>757</v>
      </c>
      <c r="C51" s="9" t="s">
        <v>490</v>
      </c>
      <c r="D51" s="10" t="s">
        <v>770</v>
      </c>
      <c r="E51" s="9" t="s">
        <v>771</v>
      </c>
      <c r="F51" s="9" t="s">
        <v>772</v>
      </c>
      <c r="G51" s="10"/>
      <c r="H51" s="10" t="s">
        <v>761</v>
      </c>
      <c r="I51" s="10" t="s">
        <v>773</v>
      </c>
      <c r="J51" s="10" t="s">
        <v>774</v>
      </c>
      <c r="K51" s="9" t="s">
        <v>194</v>
      </c>
      <c r="L51" s="10" t="s">
        <v>194</v>
      </c>
      <c r="M51" s="26">
        <v>220</v>
      </c>
      <c r="N51" s="26">
        <v>400</v>
      </c>
      <c r="O51" s="11">
        <f>IF(AND(M51&lt;&gt;"",N51&lt;&gt;""),(N51-M51)/N51,"")</f>
        <v>0.45</v>
      </c>
      <c r="P51" s="12"/>
      <c r="Q51" s="13" t="str">
        <f t="shared" si="10"/>
        <v>Amazon search</v>
      </c>
      <c r="R51" s="12"/>
      <c r="S51" s="13" t="str">
        <f>HYPERLINK("https://robu.in/?s="&amp;SUBSTITUTE($D51," ","+")&amp;"&amp;post_type=product","Robu search")</f>
        <v>Robu search</v>
      </c>
      <c r="T51" s="12"/>
      <c r="U51" s="13" t="str">
        <f t="shared" si="11"/>
        <v>Alibaba search</v>
      </c>
      <c r="V51" s="12"/>
      <c r="W51" s="13" t="str">
        <f t="shared" si="12"/>
        <v>LCSC search</v>
      </c>
      <c r="X51" s="12"/>
      <c r="Y51" s="13" t="str">
        <f t="shared" si="13"/>
        <v>Mouser search</v>
      </c>
      <c r="Z51" s="12"/>
      <c r="AA51" s="13" t="str">
        <f t="shared" si="14"/>
        <v>DigiKey search</v>
      </c>
      <c r="AB51" s="9"/>
      <c r="AC51" s="9">
        <f>Inputs_Assumptions!$B$7</f>
        <v>150</v>
      </c>
      <c r="AD51" s="9">
        <f>Inputs_Assumptions!$B$7</f>
        <v>150</v>
      </c>
      <c r="AE51" s="11">
        <f>Inputs_Assumptions!$B$5</f>
        <v>0.1</v>
      </c>
      <c r="AF51" s="11">
        <f>Inputs_Assumptions!$B$6</f>
        <v>0.18</v>
      </c>
      <c r="AG51" s="14">
        <f>Inputs_Assumptions!$B$4</f>
        <v>83</v>
      </c>
      <c r="AH51" s="12"/>
      <c r="AI51" s="15"/>
      <c r="AJ51" s="16">
        <f t="shared" si="15"/>
        <v>436.59999999999997</v>
      </c>
      <c r="AK51" s="11">
        <f>Inputs_Assumptions!$B$9</f>
        <v>0.35</v>
      </c>
      <c r="AL51" s="16">
        <f t="shared" si="16"/>
        <v>671.69230769230762</v>
      </c>
      <c r="AM51" s="11">
        <f>Inputs_Assumptions!$B$8</f>
        <v>0.18</v>
      </c>
      <c r="AN51" s="11" t="str">
        <f t="shared" si="17"/>
        <v/>
      </c>
      <c r="AO51" s="17" t="s">
        <v>168</v>
      </c>
      <c r="AP51" s="17">
        <v>10</v>
      </c>
      <c r="AQ51" s="17">
        <v>10</v>
      </c>
      <c r="AR51" s="17">
        <v>20</v>
      </c>
      <c r="AS51" s="17">
        <v>3</v>
      </c>
      <c r="AT51" s="10"/>
      <c r="AU51" s="9"/>
      <c r="AV51" s="10"/>
      <c r="AW51" t="s">
        <v>8</v>
      </c>
      <c r="BV51" s="9" t="s">
        <v>775</v>
      </c>
      <c r="BW51" s="9" t="s">
        <v>210</v>
      </c>
      <c r="BX51" s="9" t="s">
        <v>310</v>
      </c>
      <c r="BY51" s="9" t="s">
        <v>776</v>
      </c>
      <c r="BZ51" s="9" t="s">
        <v>312</v>
      </c>
      <c r="CA51" s="9" t="s">
        <v>146</v>
      </c>
      <c r="CB51" s="9" t="s">
        <v>147</v>
      </c>
      <c r="CC51" s="9" t="s">
        <v>148</v>
      </c>
      <c r="CD51" s="9"/>
      <c r="CE51" s="9" t="s">
        <v>149</v>
      </c>
      <c r="CF51" s="9"/>
      <c r="CG51" s="9"/>
      <c r="CH51" s="9" t="s">
        <v>150</v>
      </c>
      <c r="CI51" s="9" t="s">
        <v>150</v>
      </c>
      <c r="CJ51" s="9">
        <v>7</v>
      </c>
      <c r="CK51" s="9" t="s">
        <v>313</v>
      </c>
      <c r="CL51" s="9" t="s">
        <v>152</v>
      </c>
      <c r="CM51" s="9" t="s">
        <v>314</v>
      </c>
      <c r="CN51" s="9" t="s">
        <v>154</v>
      </c>
      <c r="CO51" s="9" t="s">
        <v>150</v>
      </c>
      <c r="CP51" s="9"/>
      <c r="CQ51" s="9"/>
      <c r="CR51" s="9" t="s">
        <v>155</v>
      </c>
      <c r="CS51" s="9" t="s">
        <v>777</v>
      </c>
      <c r="CT51" t="s">
        <v>173</v>
      </c>
      <c r="CU51">
        <v>22.2</v>
      </c>
      <c r="CV51" t="s">
        <v>778</v>
      </c>
    </row>
    <row r="52" spans="1:100" ht="45" hidden="1" customHeight="1" x14ac:dyDescent="0.3">
      <c r="A52" s="9" t="s">
        <v>779</v>
      </c>
      <c r="B52" s="9" t="s">
        <v>757</v>
      </c>
      <c r="C52" s="9" t="s">
        <v>490</v>
      </c>
      <c r="D52" s="10" t="s">
        <v>780</v>
      </c>
      <c r="E52" s="9" t="s">
        <v>771</v>
      </c>
      <c r="F52" s="9" t="s">
        <v>781</v>
      </c>
      <c r="G52" s="10"/>
      <c r="H52" s="10" t="s">
        <v>782</v>
      </c>
      <c r="I52" s="10" t="s">
        <v>783</v>
      </c>
      <c r="J52" s="10" t="s">
        <v>495</v>
      </c>
      <c r="K52" s="9" t="s">
        <v>165</v>
      </c>
      <c r="L52" s="10" t="s">
        <v>165</v>
      </c>
      <c r="M52" s="26">
        <v>550</v>
      </c>
      <c r="N52" s="26">
        <v>900</v>
      </c>
      <c r="O52" s="11">
        <f>IF(AND(M52&lt;&gt;"",N52&lt;&gt;""),(N52-M52)/N52,"")</f>
        <v>0.3888888888888889</v>
      </c>
      <c r="P52" s="12"/>
      <c r="Q52" s="13" t="str">
        <f t="shared" si="10"/>
        <v>Amazon search</v>
      </c>
      <c r="R52" s="12"/>
      <c r="S52" s="13" t="str">
        <f>HYPERLINK("https://robu.in/?s="&amp;SUBSTITUTE($D52," ","+")&amp;"&amp;post_type=product","Robu search")</f>
        <v>Robu search</v>
      </c>
      <c r="T52" s="12"/>
      <c r="U52" s="13" t="str">
        <f t="shared" si="11"/>
        <v>Alibaba search</v>
      </c>
      <c r="V52" s="12"/>
      <c r="W52" s="13" t="str">
        <f t="shared" si="12"/>
        <v>LCSC search</v>
      </c>
      <c r="X52" s="12"/>
      <c r="Y52" s="13" t="str">
        <f t="shared" si="13"/>
        <v>Mouser search</v>
      </c>
      <c r="Z52" s="12"/>
      <c r="AA52" s="13" t="str">
        <f t="shared" si="14"/>
        <v>DigiKey search</v>
      </c>
      <c r="AB52" s="9"/>
      <c r="AC52" s="9">
        <f>Inputs_Assumptions!$B$7</f>
        <v>150</v>
      </c>
      <c r="AD52" s="9">
        <f>Inputs_Assumptions!$B$7</f>
        <v>150</v>
      </c>
      <c r="AE52" s="11">
        <f>Inputs_Assumptions!$B$5</f>
        <v>0.1</v>
      </c>
      <c r="AF52" s="11">
        <f>Inputs_Assumptions!$B$6</f>
        <v>0.18</v>
      </c>
      <c r="AG52" s="14">
        <f>Inputs_Assumptions!$B$4</f>
        <v>83</v>
      </c>
      <c r="AH52" s="12"/>
      <c r="AI52" s="15"/>
      <c r="AJ52" s="16">
        <f t="shared" si="15"/>
        <v>826</v>
      </c>
      <c r="AK52" s="11">
        <f>Inputs_Assumptions!$B$9</f>
        <v>0.35</v>
      </c>
      <c r="AL52" s="16">
        <f t="shared" si="16"/>
        <v>1270.7692307692307</v>
      </c>
      <c r="AM52" s="11">
        <f>Inputs_Assumptions!$B$8</f>
        <v>0.18</v>
      </c>
      <c r="AN52" s="11" t="str">
        <f t="shared" si="17"/>
        <v/>
      </c>
      <c r="AO52" s="17" t="s">
        <v>268</v>
      </c>
      <c r="AP52" s="17"/>
      <c r="AQ52" s="17">
        <v>6</v>
      </c>
      <c r="AR52" s="17">
        <v>12</v>
      </c>
      <c r="AS52" s="17">
        <v>2</v>
      </c>
      <c r="AT52" s="10"/>
      <c r="AU52" s="9"/>
      <c r="AV52" s="10"/>
      <c r="AW52" t="s">
        <v>8</v>
      </c>
      <c r="BV52" s="9" t="s">
        <v>596</v>
      </c>
      <c r="BW52" s="9" t="s">
        <v>210</v>
      </c>
      <c r="BX52" s="9" t="s">
        <v>784</v>
      </c>
      <c r="BY52" s="9" t="s">
        <v>785</v>
      </c>
      <c r="BZ52" s="9" t="s">
        <v>786</v>
      </c>
      <c r="CA52" s="9" t="s">
        <v>146</v>
      </c>
      <c r="CB52" s="9" t="s">
        <v>147</v>
      </c>
      <c r="CC52" s="9" t="s">
        <v>148</v>
      </c>
      <c r="CD52" s="9"/>
      <c r="CE52" s="9" t="s">
        <v>149</v>
      </c>
      <c r="CF52" s="9"/>
      <c r="CG52" s="9"/>
      <c r="CH52" s="9" t="s">
        <v>150</v>
      </c>
      <c r="CI52" s="9" t="s">
        <v>150</v>
      </c>
      <c r="CJ52" s="9">
        <v>7</v>
      </c>
      <c r="CK52" s="9" t="s">
        <v>787</v>
      </c>
      <c r="CL52" s="9" t="s">
        <v>152</v>
      </c>
      <c r="CM52" s="9" t="s">
        <v>788</v>
      </c>
      <c r="CN52" s="9" t="s">
        <v>154</v>
      </c>
      <c r="CO52" s="9" t="s">
        <v>150</v>
      </c>
      <c r="CP52" s="9"/>
      <c r="CQ52" s="9"/>
      <c r="CR52" s="9" t="s">
        <v>155</v>
      </c>
      <c r="CS52" s="9" t="s">
        <v>789</v>
      </c>
      <c r="CT52" t="s">
        <v>272</v>
      </c>
      <c r="CU52">
        <v>21</v>
      </c>
      <c r="CV52" t="s">
        <v>790</v>
      </c>
    </row>
    <row r="53" spans="1:100" ht="45" hidden="1" customHeight="1" x14ac:dyDescent="0.3">
      <c r="A53" s="9" t="s">
        <v>791</v>
      </c>
      <c r="B53" s="9" t="s">
        <v>757</v>
      </c>
      <c r="C53" s="9" t="s">
        <v>490</v>
      </c>
      <c r="D53" s="10" t="s">
        <v>792</v>
      </c>
      <c r="E53" s="9" t="s">
        <v>793</v>
      </c>
      <c r="F53" s="9" t="s">
        <v>794</v>
      </c>
      <c r="G53" s="10"/>
      <c r="H53" s="10" t="s">
        <v>795</v>
      </c>
      <c r="I53" s="10" t="s">
        <v>796</v>
      </c>
      <c r="J53" s="10" t="s">
        <v>797</v>
      </c>
      <c r="K53" s="9" t="s">
        <v>194</v>
      </c>
      <c r="L53" s="10" t="s">
        <v>194</v>
      </c>
      <c r="M53" s="26">
        <v>120</v>
      </c>
      <c r="N53" s="26">
        <v>250</v>
      </c>
      <c r="O53" s="11">
        <f>IF(AND(M53&lt;&gt;"",N53&lt;&gt;""),(N53-M53)/N53,"")</f>
        <v>0.52</v>
      </c>
      <c r="P53" s="12"/>
      <c r="Q53" s="13" t="str">
        <f t="shared" si="10"/>
        <v>Amazon search</v>
      </c>
      <c r="R53" s="12"/>
      <c r="S53" s="13" t="str">
        <f>HYPERLINK("https://robu.in/?s="&amp;SUBSTITUTE($D53," ","+")&amp;"&amp;post_type=product","Robu search")</f>
        <v>Robu search</v>
      </c>
      <c r="T53" s="12"/>
      <c r="U53" s="13" t="str">
        <f t="shared" si="11"/>
        <v>Alibaba search</v>
      </c>
      <c r="V53" s="12"/>
      <c r="W53" s="13" t="str">
        <f t="shared" si="12"/>
        <v>LCSC search</v>
      </c>
      <c r="X53" s="12"/>
      <c r="Y53" s="13" t="str">
        <f t="shared" si="13"/>
        <v>Mouser search</v>
      </c>
      <c r="Z53" s="12"/>
      <c r="AA53" s="13" t="str">
        <f t="shared" si="14"/>
        <v>DigiKey search</v>
      </c>
      <c r="AB53" s="9"/>
      <c r="AC53" s="9">
        <f>Inputs_Assumptions!$B$7</f>
        <v>150</v>
      </c>
      <c r="AD53" s="9">
        <f>Inputs_Assumptions!$B$7</f>
        <v>150</v>
      </c>
      <c r="AE53" s="11">
        <f>Inputs_Assumptions!$B$5</f>
        <v>0.1</v>
      </c>
      <c r="AF53" s="11">
        <f>Inputs_Assumptions!$B$6</f>
        <v>0.18</v>
      </c>
      <c r="AG53" s="14">
        <f>Inputs_Assumptions!$B$4</f>
        <v>83</v>
      </c>
      <c r="AH53" s="12"/>
      <c r="AI53" s="15"/>
      <c r="AJ53" s="16">
        <f t="shared" si="15"/>
        <v>318.59999999999997</v>
      </c>
      <c r="AK53" s="11">
        <f>Inputs_Assumptions!$B$9</f>
        <v>0.35</v>
      </c>
      <c r="AL53" s="16">
        <f t="shared" si="16"/>
        <v>490.15384615384608</v>
      </c>
      <c r="AM53" s="11">
        <f>Inputs_Assumptions!$B$8</f>
        <v>0.18</v>
      </c>
      <c r="AN53" s="11" t="str">
        <f t="shared" si="17"/>
        <v/>
      </c>
      <c r="AO53" s="17" t="s">
        <v>268</v>
      </c>
      <c r="AP53" s="17"/>
      <c r="AQ53" s="17"/>
      <c r="AR53" s="17"/>
      <c r="AS53" s="17"/>
      <c r="AT53" s="10"/>
      <c r="AU53" s="9"/>
      <c r="AV53" s="10"/>
      <c r="AW53" t="s">
        <v>8</v>
      </c>
      <c r="BV53" s="9" t="s">
        <v>536</v>
      </c>
      <c r="BW53" s="9" t="s">
        <v>210</v>
      </c>
      <c r="BX53" s="9" t="s">
        <v>310</v>
      </c>
      <c r="BY53" s="9" t="s">
        <v>798</v>
      </c>
      <c r="BZ53" s="9" t="s">
        <v>312</v>
      </c>
      <c r="CA53" s="9" t="s">
        <v>146</v>
      </c>
      <c r="CB53" s="9" t="s">
        <v>147</v>
      </c>
      <c r="CC53" s="9" t="s">
        <v>148</v>
      </c>
      <c r="CD53" s="9"/>
      <c r="CE53" s="9" t="s">
        <v>149</v>
      </c>
      <c r="CF53" s="9"/>
      <c r="CG53" s="9"/>
      <c r="CH53" s="9" t="s">
        <v>150</v>
      </c>
      <c r="CI53" s="9" t="s">
        <v>150</v>
      </c>
      <c r="CJ53" s="9">
        <v>7</v>
      </c>
      <c r="CK53" s="9" t="s">
        <v>313</v>
      </c>
      <c r="CL53" s="9" t="s">
        <v>152</v>
      </c>
      <c r="CM53" s="9" t="s">
        <v>314</v>
      </c>
      <c r="CN53" s="9" t="s">
        <v>154</v>
      </c>
      <c r="CO53" s="9" t="s">
        <v>150</v>
      </c>
      <c r="CP53" s="9"/>
      <c r="CQ53" s="9"/>
      <c r="CR53" s="9" t="s">
        <v>155</v>
      </c>
      <c r="CS53" s="9" t="s">
        <v>538</v>
      </c>
      <c r="CT53" t="s">
        <v>272</v>
      </c>
      <c r="CU53">
        <v>16.2</v>
      </c>
      <c r="CV53" t="s">
        <v>799</v>
      </c>
    </row>
    <row r="54" spans="1:100" ht="45" hidden="1" customHeight="1" x14ac:dyDescent="0.3">
      <c r="A54" s="9" t="s">
        <v>800</v>
      </c>
      <c r="B54" s="9" t="s">
        <v>757</v>
      </c>
      <c r="C54" s="9" t="s">
        <v>490</v>
      </c>
      <c r="D54" s="10" t="s">
        <v>801</v>
      </c>
      <c r="E54" s="9" t="s">
        <v>802</v>
      </c>
      <c r="F54" s="9" t="s">
        <v>803</v>
      </c>
      <c r="G54" s="10"/>
      <c r="H54" s="10" t="s">
        <v>804</v>
      </c>
      <c r="I54" s="10" t="s">
        <v>805</v>
      </c>
      <c r="J54" s="10" t="s">
        <v>806</v>
      </c>
      <c r="K54" s="9" t="s">
        <v>165</v>
      </c>
      <c r="L54" s="10" t="s">
        <v>165</v>
      </c>
      <c r="M54" s="26">
        <v>180</v>
      </c>
      <c r="N54" s="26">
        <v>350</v>
      </c>
      <c r="O54" s="11">
        <f>IF(AND(M54&lt;&gt;"",N54&lt;&gt;""),(N54-M54)/N54,"")</f>
        <v>0.48571428571428571</v>
      </c>
      <c r="P54" s="12"/>
      <c r="Q54" s="13" t="str">
        <f t="shared" si="10"/>
        <v>Amazon search</v>
      </c>
      <c r="R54" s="12"/>
      <c r="S54" s="13" t="str">
        <f>HYPERLINK("https://robu.in/?s="&amp;SUBSTITUTE($D54," ","+")&amp;"&amp;post_type=product","Robu search")</f>
        <v>Robu search</v>
      </c>
      <c r="T54" s="12"/>
      <c r="U54" s="13" t="str">
        <f t="shared" si="11"/>
        <v>Alibaba search</v>
      </c>
      <c r="V54" s="12"/>
      <c r="W54" s="13" t="str">
        <f t="shared" si="12"/>
        <v>LCSC search</v>
      </c>
      <c r="X54" s="12"/>
      <c r="Y54" s="13" t="str">
        <f t="shared" si="13"/>
        <v>Mouser search</v>
      </c>
      <c r="Z54" s="12"/>
      <c r="AA54" s="13" t="str">
        <f t="shared" si="14"/>
        <v>DigiKey search</v>
      </c>
      <c r="AB54" s="9"/>
      <c r="AC54" s="9">
        <f>Inputs_Assumptions!$B$7</f>
        <v>150</v>
      </c>
      <c r="AD54" s="9">
        <f>Inputs_Assumptions!$B$7</f>
        <v>150</v>
      </c>
      <c r="AE54" s="11">
        <f>Inputs_Assumptions!$B$5</f>
        <v>0.1</v>
      </c>
      <c r="AF54" s="11">
        <f>Inputs_Assumptions!$B$6</f>
        <v>0.18</v>
      </c>
      <c r="AG54" s="14">
        <f>Inputs_Assumptions!$B$4</f>
        <v>83</v>
      </c>
      <c r="AH54" s="12"/>
      <c r="AI54" s="15"/>
      <c r="AJ54" s="16">
        <f t="shared" si="15"/>
        <v>389.4</v>
      </c>
      <c r="AK54" s="11">
        <f>Inputs_Assumptions!$B$9</f>
        <v>0.35</v>
      </c>
      <c r="AL54" s="16">
        <f t="shared" si="16"/>
        <v>599.07692307692298</v>
      </c>
      <c r="AM54" s="11">
        <f>Inputs_Assumptions!$B$8</f>
        <v>0.18</v>
      </c>
      <c r="AN54" s="11" t="str">
        <f t="shared" si="17"/>
        <v/>
      </c>
      <c r="AO54" s="17" t="s">
        <v>268</v>
      </c>
      <c r="AP54" s="17"/>
      <c r="AQ54" s="17"/>
      <c r="AR54" s="17"/>
      <c r="AS54" s="17"/>
      <c r="AT54" s="10"/>
      <c r="AU54" s="9"/>
      <c r="AV54" s="10"/>
      <c r="AW54" t="s">
        <v>8</v>
      </c>
      <c r="BV54" s="9" t="s">
        <v>498</v>
      </c>
      <c r="BW54" s="9" t="s">
        <v>210</v>
      </c>
      <c r="BX54" s="9" t="s">
        <v>310</v>
      </c>
      <c r="BY54" s="9" t="s">
        <v>807</v>
      </c>
      <c r="BZ54" s="9" t="s">
        <v>312</v>
      </c>
      <c r="CA54" s="9" t="s">
        <v>146</v>
      </c>
      <c r="CB54" s="9" t="s">
        <v>147</v>
      </c>
      <c r="CC54" s="9" t="s">
        <v>148</v>
      </c>
      <c r="CD54" s="9"/>
      <c r="CE54" s="9" t="s">
        <v>149</v>
      </c>
      <c r="CF54" s="9"/>
      <c r="CG54" s="9"/>
      <c r="CH54" s="9" t="s">
        <v>150</v>
      </c>
      <c r="CI54" s="9" t="s">
        <v>150</v>
      </c>
      <c r="CJ54" s="9">
        <v>7</v>
      </c>
      <c r="CK54" s="9" t="s">
        <v>313</v>
      </c>
      <c r="CL54" s="9" t="s">
        <v>152</v>
      </c>
      <c r="CM54" s="9" t="s">
        <v>314</v>
      </c>
      <c r="CN54" s="9" t="s">
        <v>154</v>
      </c>
      <c r="CO54" s="9" t="s">
        <v>150</v>
      </c>
      <c r="CP54" s="9"/>
      <c r="CQ54" s="9"/>
      <c r="CR54" s="9" t="s">
        <v>155</v>
      </c>
      <c r="CS54" s="9" t="s">
        <v>500</v>
      </c>
      <c r="CT54" t="s">
        <v>272</v>
      </c>
      <c r="CU54">
        <v>10</v>
      </c>
      <c r="CV54" t="s">
        <v>808</v>
      </c>
    </row>
    <row r="55" spans="1:100" s="48" customFormat="1" ht="45" customHeight="1" x14ac:dyDescent="0.3">
      <c r="A55" s="37" t="s">
        <v>809</v>
      </c>
      <c r="B55" s="37" t="s">
        <v>810</v>
      </c>
      <c r="C55" s="37" t="s">
        <v>811</v>
      </c>
      <c r="D55" s="38" t="s">
        <v>812</v>
      </c>
      <c r="E55" s="37" t="s">
        <v>813</v>
      </c>
      <c r="F55" s="37" t="s">
        <v>814</v>
      </c>
      <c r="G55" s="38"/>
      <c r="H55" s="38" t="s">
        <v>815</v>
      </c>
      <c r="I55" s="38" t="s">
        <v>816</v>
      </c>
      <c r="J55" s="38" t="s">
        <v>817</v>
      </c>
      <c r="K55" s="37" t="s">
        <v>135</v>
      </c>
      <c r="L55" s="38" t="s">
        <v>818</v>
      </c>
      <c r="M55" s="39">
        <v>161</v>
      </c>
      <c r="N55" s="39">
        <v>250</v>
      </c>
      <c r="O55" s="40">
        <v>0.35599999999999998</v>
      </c>
      <c r="P55" s="41"/>
      <c r="Q55" s="38" t="str">
        <f t="shared" si="10"/>
        <v>Amazon search</v>
      </c>
      <c r="R55" s="42">
        <v>161</v>
      </c>
      <c r="S55" s="38" t="s">
        <v>819</v>
      </c>
      <c r="T55" s="41"/>
      <c r="U55" s="38" t="str">
        <f t="shared" si="11"/>
        <v>Alibaba search</v>
      </c>
      <c r="V55" s="41"/>
      <c r="W55" s="38" t="str">
        <f t="shared" si="12"/>
        <v>LCSC search</v>
      </c>
      <c r="X55" s="41"/>
      <c r="Y55" s="38" t="str">
        <f t="shared" si="13"/>
        <v>Mouser search</v>
      </c>
      <c r="Z55" s="41"/>
      <c r="AA55" s="38" t="str">
        <f t="shared" si="14"/>
        <v>DigiKey search</v>
      </c>
      <c r="AB55" s="37"/>
      <c r="AC55" s="37">
        <f>Inputs_Assumptions!$B$7</f>
        <v>150</v>
      </c>
      <c r="AD55" s="37">
        <f>Inputs_Assumptions!$B$7</f>
        <v>150</v>
      </c>
      <c r="AE55" s="43">
        <f>Inputs_Assumptions!$B$5</f>
        <v>0.1</v>
      </c>
      <c r="AF55" s="43">
        <f>Inputs_Assumptions!$B$6</f>
        <v>0.18</v>
      </c>
      <c r="AG55" s="44">
        <f>Inputs_Assumptions!$B$4</f>
        <v>83</v>
      </c>
      <c r="AH55" s="41"/>
      <c r="AI55" s="45"/>
      <c r="AJ55" s="46">
        <f t="shared" si="15"/>
        <v>366.97999999999996</v>
      </c>
      <c r="AK55" s="43">
        <f>Inputs_Assumptions!$B$9</f>
        <v>0.35</v>
      </c>
      <c r="AL55" s="46">
        <f t="shared" si="16"/>
        <v>564.58461538461529</v>
      </c>
      <c r="AM55" s="43">
        <f>Inputs_Assumptions!$B$8</f>
        <v>0.18</v>
      </c>
      <c r="AN55" s="43" t="str">
        <f t="shared" si="17"/>
        <v/>
      </c>
      <c r="AO55" s="41" t="s">
        <v>139</v>
      </c>
      <c r="AP55" s="41"/>
      <c r="AQ55" s="41">
        <v>50</v>
      </c>
      <c r="AR55" s="41">
        <v>100</v>
      </c>
      <c r="AS55" s="41">
        <v>15</v>
      </c>
      <c r="AT55" s="38"/>
      <c r="AU55" s="47" t="s">
        <v>140</v>
      </c>
      <c r="AV55" s="38"/>
      <c r="AW55" s="48" t="s">
        <v>8</v>
      </c>
      <c r="BC55" s="49" t="s">
        <v>140</v>
      </c>
      <c r="BD55" s="48" t="s">
        <v>394</v>
      </c>
      <c r="BE55" s="48" t="s">
        <v>395</v>
      </c>
      <c r="BF55" s="48" t="s">
        <v>396</v>
      </c>
      <c r="BG55" s="48" t="s">
        <v>397</v>
      </c>
      <c r="BM55" s="50">
        <v>161</v>
      </c>
      <c r="BN55" s="48" t="s">
        <v>398</v>
      </c>
      <c r="BO55" s="48" t="s">
        <v>819</v>
      </c>
      <c r="BP55" s="48" t="s">
        <v>394</v>
      </c>
      <c r="BQ55" s="48" t="s">
        <v>395</v>
      </c>
      <c r="BR55" s="48" t="s">
        <v>396</v>
      </c>
      <c r="BS55" s="48" t="s">
        <v>397</v>
      </c>
      <c r="BT55" s="49" t="s">
        <v>140</v>
      </c>
      <c r="BU55" s="48" t="s">
        <v>820</v>
      </c>
      <c r="BV55" s="37" t="s">
        <v>765</v>
      </c>
      <c r="BW55" s="37" t="s">
        <v>210</v>
      </c>
      <c r="BX55" s="37" t="s">
        <v>310</v>
      </c>
      <c r="BY55" s="37" t="s">
        <v>821</v>
      </c>
      <c r="BZ55" s="37" t="s">
        <v>312</v>
      </c>
      <c r="CA55" s="37" t="s">
        <v>146</v>
      </c>
      <c r="CB55" s="37" t="s">
        <v>404</v>
      </c>
      <c r="CC55" s="37" t="s">
        <v>405</v>
      </c>
      <c r="CD55" s="37" t="s">
        <v>819</v>
      </c>
      <c r="CE55" s="37" t="s">
        <v>406</v>
      </c>
      <c r="CF55" s="37"/>
      <c r="CG55" s="37"/>
      <c r="CH55" s="37" t="s">
        <v>407</v>
      </c>
      <c r="CI55" s="37" t="s">
        <v>150</v>
      </c>
      <c r="CJ55" s="37">
        <v>7</v>
      </c>
      <c r="CK55" s="37" t="s">
        <v>408</v>
      </c>
      <c r="CL55" s="37" t="s">
        <v>152</v>
      </c>
      <c r="CM55" s="37" t="s">
        <v>409</v>
      </c>
      <c r="CN55" s="37" t="s">
        <v>410</v>
      </c>
      <c r="CO55" s="37" t="s">
        <v>407</v>
      </c>
      <c r="CP55" s="37" t="s">
        <v>394</v>
      </c>
      <c r="CQ55" s="37" t="s">
        <v>822</v>
      </c>
      <c r="CR55" s="37" t="s">
        <v>155</v>
      </c>
      <c r="CS55" s="37" t="s">
        <v>768</v>
      </c>
      <c r="CT55" s="48" t="s">
        <v>157</v>
      </c>
      <c r="CU55" s="48">
        <v>55.4</v>
      </c>
      <c r="CV55" s="48" t="s">
        <v>823</v>
      </c>
    </row>
    <row r="56" spans="1:100" ht="45" hidden="1" customHeight="1" x14ac:dyDescent="0.3">
      <c r="A56" s="9" t="s">
        <v>824</v>
      </c>
      <c r="B56" s="9" t="s">
        <v>810</v>
      </c>
      <c r="C56" s="9" t="s">
        <v>811</v>
      </c>
      <c r="D56" s="10" t="s">
        <v>825</v>
      </c>
      <c r="E56" s="9" t="s">
        <v>826</v>
      </c>
      <c r="F56" s="9" t="s">
        <v>827</v>
      </c>
      <c r="G56" s="10"/>
      <c r="H56" s="10" t="s">
        <v>828</v>
      </c>
      <c r="I56" s="10" t="s">
        <v>829</v>
      </c>
      <c r="J56" s="10" t="s">
        <v>830</v>
      </c>
      <c r="K56" s="9" t="s">
        <v>165</v>
      </c>
      <c r="L56" s="10" t="s">
        <v>165</v>
      </c>
      <c r="M56" s="26">
        <v>650</v>
      </c>
      <c r="N56" s="26">
        <v>1050</v>
      </c>
      <c r="O56" s="11">
        <f>IF(AND(M56&lt;&gt;"",N56&lt;&gt;""),(N56-M56)/N56,"")</f>
        <v>0.38095238095238093</v>
      </c>
      <c r="P56" s="12"/>
      <c r="Q56" s="13" t="str">
        <f t="shared" si="10"/>
        <v>Amazon search</v>
      </c>
      <c r="R56" s="12"/>
      <c r="S56" s="13" t="str">
        <f>HYPERLINK("https://robu.in/?s="&amp;SUBSTITUTE($D56," ","+")&amp;"&amp;post_type=product","Robu search")</f>
        <v>Robu search</v>
      </c>
      <c r="T56" s="12"/>
      <c r="U56" s="13" t="str">
        <f t="shared" si="11"/>
        <v>Alibaba search</v>
      </c>
      <c r="V56" s="12"/>
      <c r="W56" s="13" t="str">
        <f t="shared" si="12"/>
        <v>LCSC search</v>
      </c>
      <c r="X56" s="12"/>
      <c r="Y56" s="13" t="str">
        <f t="shared" si="13"/>
        <v>Mouser search</v>
      </c>
      <c r="Z56" s="12"/>
      <c r="AA56" s="13" t="str">
        <f t="shared" si="14"/>
        <v>DigiKey search</v>
      </c>
      <c r="AB56" s="9"/>
      <c r="AC56" s="9">
        <f>Inputs_Assumptions!$B$7</f>
        <v>150</v>
      </c>
      <c r="AD56" s="9">
        <f>Inputs_Assumptions!$B$7</f>
        <v>150</v>
      </c>
      <c r="AE56" s="11">
        <f>Inputs_Assumptions!$B$5</f>
        <v>0.1</v>
      </c>
      <c r="AF56" s="11">
        <f>Inputs_Assumptions!$B$6</f>
        <v>0.18</v>
      </c>
      <c r="AG56" s="14">
        <f>Inputs_Assumptions!$B$4</f>
        <v>83</v>
      </c>
      <c r="AH56" s="12"/>
      <c r="AI56" s="15"/>
      <c r="AJ56" s="16">
        <f t="shared" si="15"/>
        <v>944</v>
      </c>
      <c r="AK56" s="11">
        <f>Inputs_Assumptions!$B$9</f>
        <v>0.35</v>
      </c>
      <c r="AL56" s="16">
        <f t="shared" si="16"/>
        <v>1452.3076923076922</v>
      </c>
      <c r="AM56" s="11">
        <f>Inputs_Assumptions!$B$8</f>
        <v>0.18</v>
      </c>
      <c r="AN56" s="11" t="str">
        <f t="shared" si="17"/>
        <v/>
      </c>
      <c r="AO56" s="17" t="s">
        <v>268</v>
      </c>
      <c r="AP56" s="17"/>
      <c r="AQ56" s="17"/>
      <c r="AR56" s="17"/>
      <c r="AS56" s="17"/>
      <c r="AT56" s="10"/>
      <c r="AU56" s="9"/>
      <c r="AV56" s="10"/>
      <c r="AW56" t="s">
        <v>8</v>
      </c>
      <c r="BV56" s="9" t="s">
        <v>209</v>
      </c>
      <c r="BW56" s="9" t="s">
        <v>210</v>
      </c>
      <c r="BX56" s="9" t="s">
        <v>310</v>
      </c>
      <c r="BY56" s="9" t="s">
        <v>831</v>
      </c>
      <c r="BZ56" s="9" t="s">
        <v>312</v>
      </c>
      <c r="CA56" s="9" t="s">
        <v>146</v>
      </c>
      <c r="CB56" s="9" t="s">
        <v>147</v>
      </c>
      <c r="CC56" s="9" t="s">
        <v>148</v>
      </c>
      <c r="CD56" s="9"/>
      <c r="CE56" s="9" t="s">
        <v>149</v>
      </c>
      <c r="CF56" s="9"/>
      <c r="CG56" s="9"/>
      <c r="CH56" s="9" t="s">
        <v>150</v>
      </c>
      <c r="CI56" s="9" t="s">
        <v>150</v>
      </c>
      <c r="CJ56" s="9">
        <v>7</v>
      </c>
      <c r="CK56" s="9" t="s">
        <v>408</v>
      </c>
      <c r="CL56" s="9" t="s">
        <v>152</v>
      </c>
      <c r="CM56" s="9" t="s">
        <v>409</v>
      </c>
      <c r="CN56" s="9" t="s">
        <v>154</v>
      </c>
      <c r="CO56" s="9" t="s">
        <v>150</v>
      </c>
      <c r="CP56" s="9"/>
      <c r="CQ56" s="9"/>
      <c r="CR56" s="9" t="s">
        <v>155</v>
      </c>
      <c r="CS56" s="9" t="s">
        <v>832</v>
      </c>
      <c r="CT56" t="s">
        <v>272</v>
      </c>
      <c r="CU56">
        <v>15</v>
      </c>
      <c r="CV56" t="s">
        <v>833</v>
      </c>
    </row>
    <row r="57" spans="1:100" ht="45" hidden="1" customHeight="1" x14ac:dyDescent="0.3">
      <c r="A57" s="9" t="s">
        <v>834</v>
      </c>
      <c r="B57" s="9" t="s">
        <v>810</v>
      </c>
      <c r="C57" s="9" t="s">
        <v>490</v>
      </c>
      <c r="D57" s="10" t="s">
        <v>835</v>
      </c>
      <c r="E57" s="9" t="s">
        <v>515</v>
      </c>
      <c r="F57" s="9" t="s">
        <v>836</v>
      </c>
      <c r="G57" s="10" t="s">
        <v>837</v>
      </c>
      <c r="H57" s="10" t="s">
        <v>838</v>
      </c>
      <c r="I57" s="10" t="s">
        <v>839</v>
      </c>
      <c r="J57" s="10" t="s">
        <v>240</v>
      </c>
      <c r="K57" s="9" t="s">
        <v>165</v>
      </c>
      <c r="L57" s="10" t="s">
        <v>165</v>
      </c>
      <c r="M57" s="26">
        <v>450</v>
      </c>
      <c r="N57" s="26">
        <v>750</v>
      </c>
      <c r="O57" s="11">
        <f>IF(AND(M57&lt;&gt;"",N57&lt;&gt;""),(N57-M57)/N57,"")</f>
        <v>0.4</v>
      </c>
      <c r="P57" s="12"/>
      <c r="Q57" s="13" t="str">
        <f t="shared" si="10"/>
        <v>Amazon search</v>
      </c>
      <c r="R57" s="12"/>
      <c r="S57" s="13" t="str">
        <f>HYPERLINK("https://robu.in/?s="&amp;SUBSTITUTE($D57," ","+")&amp;"&amp;post_type=product","Robu search")</f>
        <v>Robu search</v>
      </c>
      <c r="T57" s="12"/>
      <c r="U57" s="13" t="str">
        <f t="shared" si="11"/>
        <v>Alibaba search</v>
      </c>
      <c r="V57" s="12"/>
      <c r="W57" s="13" t="str">
        <f t="shared" si="12"/>
        <v>LCSC search</v>
      </c>
      <c r="X57" s="12"/>
      <c r="Y57" s="13" t="str">
        <f t="shared" si="13"/>
        <v>Mouser search</v>
      </c>
      <c r="Z57" s="12"/>
      <c r="AA57" s="13" t="str">
        <f t="shared" si="14"/>
        <v>DigiKey search</v>
      </c>
      <c r="AB57" s="9"/>
      <c r="AC57" s="9">
        <f>Inputs_Assumptions!$B$7</f>
        <v>150</v>
      </c>
      <c r="AD57" s="9">
        <f>Inputs_Assumptions!$B$7</f>
        <v>150</v>
      </c>
      <c r="AE57" s="11">
        <f>Inputs_Assumptions!$B$5</f>
        <v>0.1</v>
      </c>
      <c r="AF57" s="11">
        <f>Inputs_Assumptions!$B$6</f>
        <v>0.18</v>
      </c>
      <c r="AG57" s="14">
        <f>Inputs_Assumptions!$B$4</f>
        <v>83</v>
      </c>
      <c r="AH57" s="12"/>
      <c r="AI57" s="15"/>
      <c r="AJ57" s="16">
        <f t="shared" si="15"/>
        <v>708</v>
      </c>
      <c r="AK57" s="11">
        <f>Inputs_Assumptions!$B$9</f>
        <v>0.35</v>
      </c>
      <c r="AL57" s="16">
        <f t="shared" si="16"/>
        <v>1089.2307692307693</v>
      </c>
      <c r="AM57" s="11">
        <f>Inputs_Assumptions!$B$8</f>
        <v>0.18</v>
      </c>
      <c r="AN57" s="11" t="str">
        <f t="shared" si="17"/>
        <v/>
      </c>
      <c r="AO57" s="17" t="s">
        <v>268</v>
      </c>
      <c r="AP57" s="17"/>
      <c r="AQ57" s="17"/>
      <c r="AR57" s="17"/>
      <c r="AS57" s="17"/>
      <c r="AT57" s="10"/>
      <c r="AU57" s="9"/>
      <c r="AV57" s="10"/>
      <c r="AW57" t="s">
        <v>8</v>
      </c>
      <c r="BV57" s="9" t="s">
        <v>840</v>
      </c>
      <c r="BW57" s="9" t="s">
        <v>210</v>
      </c>
      <c r="BX57" s="9" t="s">
        <v>310</v>
      </c>
      <c r="BY57" s="9" t="s">
        <v>841</v>
      </c>
      <c r="BZ57" s="9" t="s">
        <v>312</v>
      </c>
      <c r="CA57" s="9" t="s">
        <v>146</v>
      </c>
      <c r="CB57" s="9" t="s">
        <v>147</v>
      </c>
      <c r="CC57" s="9" t="s">
        <v>148</v>
      </c>
      <c r="CD57" s="9"/>
      <c r="CE57" s="9" t="s">
        <v>149</v>
      </c>
      <c r="CF57" s="9"/>
      <c r="CG57" s="9"/>
      <c r="CH57" s="9" t="s">
        <v>150</v>
      </c>
      <c r="CI57" s="9" t="s">
        <v>150</v>
      </c>
      <c r="CJ57" s="9">
        <v>7</v>
      </c>
      <c r="CK57" s="9" t="s">
        <v>313</v>
      </c>
      <c r="CL57" s="9" t="s">
        <v>152</v>
      </c>
      <c r="CM57" s="9" t="s">
        <v>314</v>
      </c>
      <c r="CN57" s="9" t="s">
        <v>154</v>
      </c>
      <c r="CO57" s="9" t="s">
        <v>150</v>
      </c>
      <c r="CP57" s="9"/>
      <c r="CQ57" s="9"/>
      <c r="CR57" s="9" t="s">
        <v>155</v>
      </c>
      <c r="CS57" s="9" t="s">
        <v>842</v>
      </c>
      <c r="CT57" t="s">
        <v>272</v>
      </c>
      <c r="CU57">
        <v>16</v>
      </c>
      <c r="CV57" t="s">
        <v>843</v>
      </c>
    </row>
    <row r="58" spans="1:100" ht="45" customHeight="1" x14ac:dyDescent="0.3">
      <c r="A58" s="9" t="s">
        <v>844</v>
      </c>
      <c r="B58" s="9" t="s">
        <v>810</v>
      </c>
      <c r="C58" s="9" t="s">
        <v>845</v>
      </c>
      <c r="D58" s="10" t="s">
        <v>846</v>
      </c>
      <c r="E58" s="9" t="s">
        <v>847</v>
      </c>
      <c r="F58" s="9" t="s">
        <v>848</v>
      </c>
      <c r="G58" s="10" t="s">
        <v>837</v>
      </c>
      <c r="H58" s="10" t="s">
        <v>838</v>
      </c>
      <c r="I58" s="10" t="s">
        <v>849</v>
      </c>
      <c r="J58" s="10" t="s">
        <v>850</v>
      </c>
      <c r="K58" s="9" t="s">
        <v>194</v>
      </c>
      <c r="L58" s="10" t="s">
        <v>194</v>
      </c>
      <c r="M58" s="26">
        <v>719</v>
      </c>
      <c r="N58" s="26">
        <v>1110</v>
      </c>
      <c r="O58" s="27">
        <v>0.3523</v>
      </c>
      <c r="P58" s="12"/>
      <c r="Q58" s="13" t="str">
        <f t="shared" si="10"/>
        <v>Amazon search</v>
      </c>
      <c r="R58" s="28">
        <v>719</v>
      </c>
      <c r="S58" s="13" t="s">
        <v>851</v>
      </c>
      <c r="T58" s="12"/>
      <c r="U58" s="13" t="str">
        <f t="shared" si="11"/>
        <v>Alibaba search</v>
      </c>
      <c r="V58" s="12"/>
      <c r="W58" s="13" t="str">
        <f t="shared" si="12"/>
        <v>LCSC search</v>
      </c>
      <c r="X58" s="12"/>
      <c r="Y58" s="13" t="str">
        <f t="shared" si="13"/>
        <v>Mouser search</v>
      </c>
      <c r="Z58" s="12"/>
      <c r="AA58" s="13" t="str">
        <f t="shared" si="14"/>
        <v>DigiKey search</v>
      </c>
      <c r="AB58" s="9"/>
      <c r="AC58" s="9">
        <f>Inputs_Assumptions!$B$7</f>
        <v>150</v>
      </c>
      <c r="AD58" s="9">
        <f>Inputs_Assumptions!$B$7</f>
        <v>150</v>
      </c>
      <c r="AE58" s="11">
        <f>Inputs_Assumptions!$B$5</f>
        <v>0.1</v>
      </c>
      <c r="AF58" s="11">
        <f>Inputs_Assumptions!$B$6</f>
        <v>0.18</v>
      </c>
      <c r="AG58" s="14">
        <f>Inputs_Assumptions!$B$4</f>
        <v>83</v>
      </c>
      <c r="AH58" s="12"/>
      <c r="AI58" s="15"/>
      <c r="AJ58" s="16">
        <f t="shared" si="15"/>
        <v>1025.4199999999998</v>
      </c>
      <c r="AK58" s="11">
        <f>Inputs_Assumptions!$B$9</f>
        <v>0.35</v>
      </c>
      <c r="AL58" s="16">
        <f t="shared" si="16"/>
        <v>1577.5692307692304</v>
      </c>
      <c r="AM58" s="11">
        <f>Inputs_Assumptions!$B$8</f>
        <v>0.18</v>
      </c>
      <c r="AN58" s="11" t="str">
        <f t="shared" si="17"/>
        <v/>
      </c>
      <c r="AO58" s="17" t="s">
        <v>139</v>
      </c>
      <c r="AP58" s="17"/>
      <c r="AQ58" s="17">
        <v>20</v>
      </c>
      <c r="AR58" s="17">
        <v>40</v>
      </c>
      <c r="AS58" s="17">
        <v>6</v>
      </c>
      <c r="AT58" s="10"/>
      <c r="AU58" s="29" t="s">
        <v>140</v>
      </c>
      <c r="AV58" s="10"/>
      <c r="AW58" t="s">
        <v>8</v>
      </c>
      <c r="BC58" s="30" t="s">
        <v>140</v>
      </c>
      <c r="BD58" t="s">
        <v>394</v>
      </c>
      <c r="BE58" t="s">
        <v>395</v>
      </c>
      <c r="BF58" t="s">
        <v>396</v>
      </c>
      <c r="BG58" t="s">
        <v>397</v>
      </c>
      <c r="BM58" s="31">
        <v>719</v>
      </c>
      <c r="BN58" t="s">
        <v>398</v>
      </c>
      <c r="BO58" t="s">
        <v>851</v>
      </c>
      <c r="BP58" t="s">
        <v>394</v>
      </c>
      <c r="BQ58" t="s">
        <v>395</v>
      </c>
      <c r="BR58" t="s">
        <v>396</v>
      </c>
      <c r="BS58" t="s">
        <v>397</v>
      </c>
      <c r="BT58" s="30" t="s">
        <v>140</v>
      </c>
      <c r="BU58" t="s">
        <v>852</v>
      </c>
      <c r="BV58" s="9" t="s">
        <v>572</v>
      </c>
      <c r="BW58" s="9" t="s">
        <v>210</v>
      </c>
      <c r="BX58" s="9" t="s">
        <v>310</v>
      </c>
      <c r="BY58" s="9" t="s">
        <v>853</v>
      </c>
      <c r="BZ58" s="9" t="s">
        <v>312</v>
      </c>
      <c r="CA58" s="9" t="s">
        <v>146</v>
      </c>
      <c r="CB58" s="9" t="s">
        <v>404</v>
      </c>
      <c r="CC58" s="9" t="s">
        <v>405</v>
      </c>
      <c r="CD58" s="9" t="s">
        <v>851</v>
      </c>
      <c r="CE58" s="9" t="s">
        <v>406</v>
      </c>
      <c r="CF58" s="9"/>
      <c r="CG58" s="9"/>
      <c r="CH58" s="9" t="s">
        <v>407</v>
      </c>
      <c r="CI58" s="9" t="s">
        <v>150</v>
      </c>
      <c r="CJ58" s="9">
        <v>7</v>
      </c>
      <c r="CK58" s="9" t="s">
        <v>408</v>
      </c>
      <c r="CL58" s="9" t="s">
        <v>152</v>
      </c>
      <c r="CM58" s="9" t="s">
        <v>409</v>
      </c>
      <c r="CN58" s="9" t="s">
        <v>410</v>
      </c>
      <c r="CO58" s="9" t="s">
        <v>407</v>
      </c>
      <c r="CP58" s="9" t="s">
        <v>394</v>
      </c>
      <c r="CQ58" s="9" t="s">
        <v>854</v>
      </c>
      <c r="CR58" s="9" t="s">
        <v>155</v>
      </c>
      <c r="CS58" s="9" t="s">
        <v>660</v>
      </c>
      <c r="CT58" t="s">
        <v>157</v>
      </c>
      <c r="CU58">
        <v>33.4</v>
      </c>
      <c r="CV58" t="s">
        <v>702</v>
      </c>
    </row>
    <row r="59" spans="1:100" ht="45" customHeight="1" x14ac:dyDescent="0.3">
      <c r="A59" s="9" t="s">
        <v>855</v>
      </c>
      <c r="B59" s="9" t="s">
        <v>856</v>
      </c>
      <c r="C59" s="9" t="s">
        <v>490</v>
      </c>
      <c r="D59" s="10" t="s">
        <v>857</v>
      </c>
      <c r="E59" s="9" t="s">
        <v>858</v>
      </c>
      <c r="F59" s="9" t="s">
        <v>859</v>
      </c>
      <c r="G59" s="10"/>
      <c r="H59" s="10" t="s">
        <v>860</v>
      </c>
      <c r="I59" s="10" t="s">
        <v>861</v>
      </c>
      <c r="J59" s="10" t="s">
        <v>862</v>
      </c>
      <c r="K59" s="9" t="s">
        <v>194</v>
      </c>
      <c r="L59" s="10" t="s">
        <v>194</v>
      </c>
      <c r="M59" s="26">
        <v>18</v>
      </c>
      <c r="N59" s="26">
        <v>40</v>
      </c>
      <c r="O59" s="11">
        <f>IF(AND(M59&lt;&gt;"",N59&lt;&gt;""),(N59-M59)/N59,"")</f>
        <v>0.55000000000000004</v>
      </c>
      <c r="P59" s="12"/>
      <c r="Q59" s="13" t="str">
        <f t="shared" si="10"/>
        <v>Amazon search</v>
      </c>
      <c r="R59" s="12"/>
      <c r="S59" s="13" t="str">
        <f>HYPERLINK("https://robu.in/?s="&amp;SUBSTITUTE($D59," ","+")&amp;"&amp;post_type=product","Robu search")</f>
        <v>Robu search</v>
      </c>
      <c r="T59" s="12"/>
      <c r="U59" s="13" t="str">
        <f t="shared" si="11"/>
        <v>Alibaba search</v>
      </c>
      <c r="V59" s="12"/>
      <c r="W59" s="13" t="str">
        <f t="shared" si="12"/>
        <v>LCSC search</v>
      </c>
      <c r="X59" s="12"/>
      <c r="Y59" s="13" t="str">
        <f t="shared" si="13"/>
        <v>Mouser search</v>
      </c>
      <c r="Z59" s="12"/>
      <c r="AA59" s="13" t="str">
        <f t="shared" si="14"/>
        <v>DigiKey search</v>
      </c>
      <c r="AB59" s="9"/>
      <c r="AC59" s="9">
        <f>Inputs_Assumptions!$B$7</f>
        <v>150</v>
      </c>
      <c r="AD59" s="9">
        <f>Inputs_Assumptions!$B$7</f>
        <v>150</v>
      </c>
      <c r="AE59" s="11">
        <f>Inputs_Assumptions!$B$5</f>
        <v>0.1</v>
      </c>
      <c r="AF59" s="11">
        <f>Inputs_Assumptions!$B$6</f>
        <v>0.18</v>
      </c>
      <c r="AG59" s="14">
        <f>Inputs_Assumptions!$B$4</f>
        <v>83</v>
      </c>
      <c r="AH59" s="12"/>
      <c r="AI59" s="15"/>
      <c r="AJ59" s="16">
        <f t="shared" si="15"/>
        <v>198.23999999999998</v>
      </c>
      <c r="AK59" s="11">
        <f>Inputs_Assumptions!$B$9</f>
        <v>0.35</v>
      </c>
      <c r="AL59" s="16">
        <f t="shared" si="16"/>
        <v>304.98461538461532</v>
      </c>
      <c r="AM59" s="11">
        <f>Inputs_Assumptions!$B$8</f>
        <v>0.18</v>
      </c>
      <c r="AN59" s="11" t="str">
        <f t="shared" si="17"/>
        <v/>
      </c>
      <c r="AO59" s="17" t="s">
        <v>139</v>
      </c>
      <c r="AP59" s="17"/>
      <c r="AQ59" s="17">
        <v>50</v>
      </c>
      <c r="AR59" s="17">
        <v>100</v>
      </c>
      <c r="AS59" s="17">
        <v>15</v>
      </c>
      <c r="AT59" s="10"/>
      <c r="AU59" s="9"/>
      <c r="AV59" s="10"/>
      <c r="AW59" t="s">
        <v>8</v>
      </c>
      <c r="BV59" s="9" t="s">
        <v>209</v>
      </c>
      <c r="BW59" s="9" t="s">
        <v>210</v>
      </c>
      <c r="BX59" s="9" t="s">
        <v>310</v>
      </c>
      <c r="BY59" s="9" t="s">
        <v>863</v>
      </c>
      <c r="BZ59" s="9" t="s">
        <v>312</v>
      </c>
      <c r="CA59" s="9" t="s">
        <v>146</v>
      </c>
      <c r="CB59" s="9" t="s">
        <v>147</v>
      </c>
      <c r="CC59" s="9" t="s">
        <v>148</v>
      </c>
      <c r="CD59" s="9"/>
      <c r="CE59" s="9" t="s">
        <v>149</v>
      </c>
      <c r="CF59" s="9"/>
      <c r="CG59" s="9"/>
      <c r="CH59" s="9" t="s">
        <v>150</v>
      </c>
      <c r="CI59" s="9" t="s">
        <v>150</v>
      </c>
      <c r="CJ59" s="9">
        <v>7</v>
      </c>
      <c r="CK59" s="9" t="s">
        <v>313</v>
      </c>
      <c r="CL59" s="9" t="s">
        <v>152</v>
      </c>
      <c r="CM59" s="9" t="s">
        <v>314</v>
      </c>
      <c r="CN59" s="9" t="s">
        <v>154</v>
      </c>
      <c r="CO59" s="9" t="s">
        <v>150</v>
      </c>
      <c r="CP59" s="9"/>
      <c r="CQ59" s="9"/>
      <c r="CR59" s="9" t="s">
        <v>155</v>
      </c>
      <c r="CS59" s="9" t="s">
        <v>832</v>
      </c>
      <c r="CT59" t="s">
        <v>157</v>
      </c>
      <c r="CU59">
        <v>51.2</v>
      </c>
      <c r="CV59" t="s">
        <v>864</v>
      </c>
    </row>
    <row r="60" spans="1:100" ht="45" customHeight="1" x14ac:dyDescent="0.3">
      <c r="A60" s="9" t="s">
        <v>865</v>
      </c>
      <c r="B60" s="9" t="s">
        <v>856</v>
      </c>
      <c r="C60" s="9" t="s">
        <v>811</v>
      </c>
      <c r="D60" s="10" t="s">
        <v>866</v>
      </c>
      <c r="E60" s="9" t="s">
        <v>867</v>
      </c>
      <c r="F60" s="9" t="s">
        <v>868</v>
      </c>
      <c r="G60" s="10" t="s">
        <v>869</v>
      </c>
      <c r="H60" s="10" t="s">
        <v>870</v>
      </c>
      <c r="I60" s="10" t="s">
        <v>871</v>
      </c>
      <c r="J60" s="10" t="s">
        <v>850</v>
      </c>
      <c r="K60" s="9" t="s">
        <v>194</v>
      </c>
      <c r="L60" s="10" t="s">
        <v>194</v>
      </c>
      <c r="M60" s="26">
        <v>13</v>
      </c>
      <c r="N60" s="26">
        <v>20</v>
      </c>
      <c r="O60" s="27">
        <v>0.35</v>
      </c>
      <c r="P60" s="12"/>
      <c r="Q60" s="13" t="str">
        <f t="shared" si="10"/>
        <v>Amazon search</v>
      </c>
      <c r="R60" s="28">
        <v>13</v>
      </c>
      <c r="S60" s="13" t="s">
        <v>872</v>
      </c>
      <c r="T60" s="12"/>
      <c r="U60" s="13" t="str">
        <f t="shared" si="11"/>
        <v>Alibaba search</v>
      </c>
      <c r="V60" s="12"/>
      <c r="W60" s="13" t="str">
        <f t="shared" si="12"/>
        <v>LCSC search</v>
      </c>
      <c r="X60" s="12"/>
      <c r="Y60" s="13" t="str">
        <f t="shared" si="13"/>
        <v>Mouser search</v>
      </c>
      <c r="Z60" s="12"/>
      <c r="AA60" s="13" t="str">
        <f t="shared" si="14"/>
        <v>DigiKey search</v>
      </c>
      <c r="AB60" s="9"/>
      <c r="AC60" s="9">
        <f>Inputs_Assumptions!$B$7</f>
        <v>150</v>
      </c>
      <c r="AD60" s="9">
        <f>Inputs_Assumptions!$B$7</f>
        <v>150</v>
      </c>
      <c r="AE60" s="11">
        <f>Inputs_Assumptions!$B$5</f>
        <v>0.1</v>
      </c>
      <c r="AF60" s="11">
        <f>Inputs_Assumptions!$B$6</f>
        <v>0.18</v>
      </c>
      <c r="AG60" s="14">
        <f>Inputs_Assumptions!$B$4</f>
        <v>83</v>
      </c>
      <c r="AH60" s="12"/>
      <c r="AI60" s="15"/>
      <c r="AJ60" s="16">
        <f t="shared" si="15"/>
        <v>192.34</v>
      </c>
      <c r="AK60" s="11">
        <f>Inputs_Assumptions!$B$9</f>
        <v>0.35</v>
      </c>
      <c r="AL60" s="16">
        <f t="shared" si="16"/>
        <v>295.90769230769229</v>
      </c>
      <c r="AM60" s="11">
        <f>Inputs_Assumptions!$B$8</f>
        <v>0.18</v>
      </c>
      <c r="AN60" s="11" t="str">
        <f t="shared" si="17"/>
        <v/>
      </c>
      <c r="AO60" s="17" t="s">
        <v>139</v>
      </c>
      <c r="AP60" s="17">
        <v>50</v>
      </c>
      <c r="AQ60" s="17">
        <v>50</v>
      </c>
      <c r="AR60" s="17">
        <v>100</v>
      </c>
      <c r="AS60" s="17">
        <v>15</v>
      </c>
      <c r="AT60" s="10"/>
      <c r="AU60" s="29" t="s">
        <v>140</v>
      </c>
      <c r="AV60" s="10"/>
      <c r="AW60" t="s">
        <v>8</v>
      </c>
      <c r="BC60" s="30" t="s">
        <v>140</v>
      </c>
      <c r="BD60" t="s">
        <v>394</v>
      </c>
      <c r="BE60" t="s">
        <v>395</v>
      </c>
      <c r="BF60" t="s">
        <v>396</v>
      </c>
      <c r="BG60" t="s">
        <v>397</v>
      </c>
      <c r="BM60" s="31">
        <v>13</v>
      </c>
      <c r="BN60" t="s">
        <v>398</v>
      </c>
      <c r="BO60" t="s">
        <v>872</v>
      </c>
      <c r="BP60" t="s">
        <v>394</v>
      </c>
      <c r="BQ60" t="s">
        <v>395</v>
      </c>
      <c r="BR60" t="s">
        <v>396</v>
      </c>
      <c r="BS60" t="s">
        <v>397</v>
      </c>
      <c r="BT60" s="30" t="s">
        <v>140</v>
      </c>
      <c r="BV60" s="9" t="s">
        <v>873</v>
      </c>
      <c r="BW60" s="9" t="s">
        <v>142</v>
      </c>
      <c r="BX60" s="9" t="s">
        <v>310</v>
      </c>
      <c r="BY60" s="9" t="s">
        <v>874</v>
      </c>
      <c r="BZ60" s="9" t="s">
        <v>312</v>
      </c>
      <c r="CA60" s="9" t="s">
        <v>146</v>
      </c>
      <c r="CB60" s="9" t="s">
        <v>404</v>
      </c>
      <c r="CC60" s="9" t="s">
        <v>405</v>
      </c>
      <c r="CD60" s="9" t="s">
        <v>872</v>
      </c>
      <c r="CE60" s="9" t="s">
        <v>406</v>
      </c>
      <c r="CF60" s="9"/>
      <c r="CG60" s="9"/>
      <c r="CH60" s="9" t="s">
        <v>407</v>
      </c>
      <c r="CI60" s="9" t="s">
        <v>150</v>
      </c>
      <c r="CJ60" s="9">
        <v>7</v>
      </c>
      <c r="CK60" s="9" t="s">
        <v>408</v>
      </c>
      <c r="CL60" s="9" t="s">
        <v>152</v>
      </c>
      <c r="CM60" s="9" t="s">
        <v>409</v>
      </c>
      <c r="CN60" s="9" t="s">
        <v>410</v>
      </c>
      <c r="CO60" s="9" t="s">
        <v>407</v>
      </c>
      <c r="CP60" s="9" t="s">
        <v>394</v>
      </c>
      <c r="CQ60" s="9" t="s">
        <v>875</v>
      </c>
      <c r="CR60" s="9" t="s">
        <v>155</v>
      </c>
      <c r="CS60" s="9" t="s">
        <v>876</v>
      </c>
      <c r="CT60" t="s">
        <v>157</v>
      </c>
      <c r="CU60">
        <v>46.4</v>
      </c>
      <c r="CV60" t="s">
        <v>877</v>
      </c>
    </row>
    <row r="61" spans="1:100" ht="45" hidden="1" customHeight="1" x14ac:dyDescent="0.3">
      <c r="A61" s="9" t="s">
        <v>878</v>
      </c>
      <c r="B61" s="9" t="s">
        <v>856</v>
      </c>
      <c r="C61" s="9" t="s">
        <v>490</v>
      </c>
      <c r="D61" s="10" t="s">
        <v>879</v>
      </c>
      <c r="E61" s="9" t="s">
        <v>880</v>
      </c>
      <c r="F61" s="9" t="s">
        <v>881</v>
      </c>
      <c r="G61" s="10"/>
      <c r="H61" s="10" t="s">
        <v>882</v>
      </c>
      <c r="I61" s="10" t="s">
        <v>883</v>
      </c>
      <c r="J61" s="10" t="s">
        <v>884</v>
      </c>
      <c r="K61" s="9" t="s">
        <v>194</v>
      </c>
      <c r="L61" s="10" t="s">
        <v>194</v>
      </c>
      <c r="M61" s="26">
        <v>66</v>
      </c>
      <c r="N61" s="26">
        <v>110</v>
      </c>
      <c r="O61" s="27">
        <v>0.4</v>
      </c>
      <c r="P61" s="12"/>
      <c r="Q61" s="13" t="str">
        <f t="shared" si="10"/>
        <v>Amazon search</v>
      </c>
      <c r="R61" s="28">
        <v>66</v>
      </c>
      <c r="S61" s="13" t="s">
        <v>885</v>
      </c>
      <c r="T61" s="12"/>
      <c r="U61" s="13" t="str">
        <f t="shared" si="11"/>
        <v>Alibaba search</v>
      </c>
      <c r="V61" s="12"/>
      <c r="W61" s="13" t="str">
        <f t="shared" si="12"/>
        <v>LCSC search</v>
      </c>
      <c r="X61" s="12"/>
      <c r="Y61" s="13" t="str">
        <f t="shared" si="13"/>
        <v>Mouser search</v>
      </c>
      <c r="Z61" s="12"/>
      <c r="AA61" s="13" t="str">
        <f t="shared" si="14"/>
        <v>DigiKey search</v>
      </c>
      <c r="AB61" s="9"/>
      <c r="AC61" s="9">
        <f>Inputs_Assumptions!$B$7</f>
        <v>150</v>
      </c>
      <c r="AD61" s="9">
        <f>Inputs_Assumptions!$B$7</f>
        <v>150</v>
      </c>
      <c r="AE61" s="11">
        <f>Inputs_Assumptions!$B$5</f>
        <v>0.1</v>
      </c>
      <c r="AF61" s="11">
        <f>Inputs_Assumptions!$B$6</f>
        <v>0.18</v>
      </c>
      <c r="AG61" s="14">
        <f>Inputs_Assumptions!$B$4</f>
        <v>83</v>
      </c>
      <c r="AH61" s="12"/>
      <c r="AI61" s="15"/>
      <c r="AJ61" s="16">
        <f t="shared" si="15"/>
        <v>254.88</v>
      </c>
      <c r="AK61" s="11">
        <f>Inputs_Assumptions!$B$9</f>
        <v>0.35</v>
      </c>
      <c r="AL61" s="16">
        <f t="shared" si="16"/>
        <v>392.12307692307689</v>
      </c>
      <c r="AM61" s="11">
        <f>Inputs_Assumptions!$B$8</f>
        <v>0.18</v>
      </c>
      <c r="AN61" s="11" t="str">
        <f t="shared" si="17"/>
        <v/>
      </c>
      <c r="AO61" s="17" t="s">
        <v>168</v>
      </c>
      <c r="AP61" s="17">
        <v>6</v>
      </c>
      <c r="AQ61" s="17">
        <v>6</v>
      </c>
      <c r="AR61" s="17">
        <v>12</v>
      </c>
      <c r="AS61" s="17">
        <v>2</v>
      </c>
      <c r="AT61" s="10"/>
      <c r="AU61" s="29" t="s">
        <v>140</v>
      </c>
      <c r="AV61" s="10" t="s">
        <v>631</v>
      </c>
      <c r="AW61" t="s">
        <v>8</v>
      </c>
      <c r="BC61" s="30" t="s">
        <v>140</v>
      </c>
      <c r="BD61" t="s">
        <v>394</v>
      </c>
      <c r="BE61" t="s">
        <v>395</v>
      </c>
      <c r="BF61" t="s">
        <v>396</v>
      </c>
      <c r="BG61" t="s">
        <v>397</v>
      </c>
      <c r="BM61" s="31">
        <v>66</v>
      </c>
      <c r="BN61" t="s">
        <v>398</v>
      </c>
      <c r="BO61" t="s">
        <v>885</v>
      </c>
      <c r="BP61" t="s">
        <v>394</v>
      </c>
      <c r="BQ61" t="s">
        <v>395</v>
      </c>
      <c r="BR61" t="s">
        <v>396</v>
      </c>
      <c r="BS61" t="s">
        <v>397</v>
      </c>
      <c r="BT61" s="30" t="s">
        <v>140</v>
      </c>
      <c r="BV61" s="9" t="s">
        <v>632</v>
      </c>
      <c r="BW61" s="9" t="s">
        <v>210</v>
      </c>
      <c r="BX61" s="9" t="s">
        <v>310</v>
      </c>
      <c r="BY61" s="9" t="s">
        <v>886</v>
      </c>
      <c r="BZ61" s="9" t="s">
        <v>312</v>
      </c>
      <c r="CA61" s="9" t="s">
        <v>146</v>
      </c>
      <c r="CB61" s="9" t="s">
        <v>404</v>
      </c>
      <c r="CC61" s="9" t="s">
        <v>405</v>
      </c>
      <c r="CD61" s="9" t="s">
        <v>885</v>
      </c>
      <c r="CE61" s="9" t="s">
        <v>406</v>
      </c>
      <c r="CF61" s="9"/>
      <c r="CG61" s="9"/>
      <c r="CH61" s="9" t="s">
        <v>407</v>
      </c>
      <c r="CI61" s="9" t="s">
        <v>150</v>
      </c>
      <c r="CJ61" s="9">
        <v>7</v>
      </c>
      <c r="CK61" s="9" t="s">
        <v>313</v>
      </c>
      <c r="CL61" s="9" t="s">
        <v>152</v>
      </c>
      <c r="CM61" s="9" t="s">
        <v>314</v>
      </c>
      <c r="CN61" s="9" t="s">
        <v>410</v>
      </c>
      <c r="CO61" s="9" t="s">
        <v>407</v>
      </c>
      <c r="CP61" s="9" t="s">
        <v>394</v>
      </c>
      <c r="CQ61" s="9" t="s">
        <v>887</v>
      </c>
      <c r="CR61" s="9" t="s">
        <v>155</v>
      </c>
      <c r="CS61" s="9" t="s">
        <v>635</v>
      </c>
      <c r="CT61" t="s">
        <v>173</v>
      </c>
      <c r="CU61">
        <v>26.5</v>
      </c>
      <c r="CV61" t="s">
        <v>661</v>
      </c>
    </row>
    <row r="62" spans="1:100" ht="45" hidden="1" customHeight="1" x14ac:dyDescent="0.3">
      <c r="A62" s="9" t="s">
        <v>888</v>
      </c>
      <c r="B62" s="9" t="s">
        <v>856</v>
      </c>
      <c r="C62" s="9" t="s">
        <v>490</v>
      </c>
      <c r="D62" s="10" t="s">
        <v>889</v>
      </c>
      <c r="E62" s="9" t="s">
        <v>890</v>
      </c>
      <c r="F62" s="9" t="s">
        <v>891</v>
      </c>
      <c r="G62" s="10"/>
      <c r="H62" s="10" t="s">
        <v>892</v>
      </c>
      <c r="I62" s="10" t="s">
        <v>893</v>
      </c>
      <c r="J62" s="10" t="s">
        <v>595</v>
      </c>
      <c r="K62" s="9" t="s">
        <v>194</v>
      </c>
      <c r="L62" s="10" t="s">
        <v>194</v>
      </c>
      <c r="M62" s="26">
        <v>39</v>
      </c>
      <c r="N62" s="26">
        <v>60</v>
      </c>
      <c r="O62" s="27">
        <v>0.35</v>
      </c>
      <c r="P62" s="12"/>
      <c r="Q62" s="13" t="str">
        <f t="shared" si="10"/>
        <v>Amazon search</v>
      </c>
      <c r="R62" s="28">
        <v>39</v>
      </c>
      <c r="S62" s="13" t="s">
        <v>894</v>
      </c>
      <c r="T62" s="12"/>
      <c r="U62" s="13" t="str">
        <f t="shared" si="11"/>
        <v>Alibaba search</v>
      </c>
      <c r="V62" s="12"/>
      <c r="W62" s="13" t="str">
        <f t="shared" si="12"/>
        <v>LCSC search</v>
      </c>
      <c r="X62" s="12"/>
      <c r="Y62" s="13" t="str">
        <f t="shared" si="13"/>
        <v>Mouser search</v>
      </c>
      <c r="Z62" s="12"/>
      <c r="AA62" s="13" t="str">
        <f t="shared" si="14"/>
        <v>DigiKey search</v>
      </c>
      <c r="AB62" s="9"/>
      <c r="AC62" s="9">
        <f>Inputs_Assumptions!$B$7</f>
        <v>150</v>
      </c>
      <c r="AD62" s="9">
        <f>Inputs_Assumptions!$B$7</f>
        <v>150</v>
      </c>
      <c r="AE62" s="11">
        <f>Inputs_Assumptions!$B$5</f>
        <v>0.1</v>
      </c>
      <c r="AF62" s="11">
        <f>Inputs_Assumptions!$B$6</f>
        <v>0.18</v>
      </c>
      <c r="AG62" s="14">
        <f>Inputs_Assumptions!$B$4</f>
        <v>83</v>
      </c>
      <c r="AH62" s="12"/>
      <c r="AI62" s="15"/>
      <c r="AJ62" s="16">
        <f t="shared" si="15"/>
        <v>223.01999999999998</v>
      </c>
      <c r="AK62" s="11">
        <f>Inputs_Assumptions!$B$9</f>
        <v>0.35</v>
      </c>
      <c r="AL62" s="16">
        <f t="shared" si="16"/>
        <v>343.10769230769228</v>
      </c>
      <c r="AM62" s="11">
        <f>Inputs_Assumptions!$B$8</f>
        <v>0.18</v>
      </c>
      <c r="AN62" s="11" t="str">
        <f t="shared" si="17"/>
        <v/>
      </c>
      <c r="AO62" s="17" t="s">
        <v>139</v>
      </c>
      <c r="AP62" s="17">
        <v>20</v>
      </c>
      <c r="AQ62" s="17">
        <v>20</v>
      </c>
      <c r="AR62" s="17">
        <v>40</v>
      </c>
      <c r="AS62" s="17">
        <v>6</v>
      </c>
      <c r="AT62" s="10"/>
      <c r="AU62" s="29" t="s">
        <v>140</v>
      </c>
      <c r="AV62" s="10"/>
      <c r="AW62" t="s">
        <v>8</v>
      </c>
      <c r="BC62" s="30" t="s">
        <v>140</v>
      </c>
      <c r="BD62" t="s">
        <v>394</v>
      </c>
      <c r="BE62" t="s">
        <v>395</v>
      </c>
      <c r="BF62" t="s">
        <v>396</v>
      </c>
      <c r="BG62" t="s">
        <v>397</v>
      </c>
      <c r="BM62" s="31">
        <v>39</v>
      </c>
      <c r="BN62" t="s">
        <v>398</v>
      </c>
      <c r="BO62" t="s">
        <v>894</v>
      </c>
      <c r="BP62" t="s">
        <v>394</v>
      </c>
      <c r="BQ62" t="s">
        <v>395</v>
      </c>
      <c r="BR62" t="s">
        <v>396</v>
      </c>
      <c r="BS62" t="s">
        <v>397</v>
      </c>
      <c r="BT62" s="30" t="s">
        <v>140</v>
      </c>
      <c r="BV62" s="9" t="s">
        <v>141</v>
      </c>
      <c r="BW62" s="9" t="s">
        <v>142</v>
      </c>
      <c r="BX62" s="9" t="s">
        <v>310</v>
      </c>
      <c r="BY62" s="9" t="s">
        <v>895</v>
      </c>
      <c r="BZ62" s="9" t="s">
        <v>312</v>
      </c>
      <c r="CA62" s="9" t="s">
        <v>146</v>
      </c>
      <c r="CB62" s="9" t="s">
        <v>404</v>
      </c>
      <c r="CC62" s="9" t="s">
        <v>405</v>
      </c>
      <c r="CD62" s="9" t="s">
        <v>894</v>
      </c>
      <c r="CE62" s="9" t="s">
        <v>406</v>
      </c>
      <c r="CF62" s="9"/>
      <c r="CG62" s="9"/>
      <c r="CH62" s="9" t="s">
        <v>407</v>
      </c>
      <c r="CI62" s="9" t="s">
        <v>150</v>
      </c>
      <c r="CJ62" s="9">
        <v>7</v>
      </c>
      <c r="CK62" s="9" t="s">
        <v>313</v>
      </c>
      <c r="CL62" s="9" t="s">
        <v>152</v>
      </c>
      <c r="CM62" s="9" t="s">
        <v>314</v>
      </c>
      <c r="CN62" s="9" t="s">
        <v>410</v>
      </c>
      <c r="CO62" s="9" t="s">
        <v>407</v>
      </c>
      <c r="CP62" s="9" t="s">
        <v>394</v>
      </c>
      <c r="CQ62" s="9" t="s">
        <v>896</v>
      </c>
      <c r="CR62" s="9" t="s">
        <v>155</v>
      </c>
      <c r="CS62" s="9" t="s">
        <v>897</v>
      </c>
      <c r="CT62" t="s">
        <v>157</v>
      </c>
      <c r="CU62">
        <v>28.4</v>
      </c>
      <c r="CV62" t="s">
        <v>898</v>
      </c>
    </row>
    <row r="63" spans="1:100" ht="45" hidden="1" customHeight="1" x14ac:dyDescent="0.3">
      <c r="A63" s="9" t="s">
        <v>899</v>
      </c>
      <c r="B63" s="9" t="s">
        <v>856</v>
      </c>
      <c r="C63" s="9" t="s">
        <v>900</v>
      </c>
      <c r="D63" s="10" t="s">
        <v>901</v>
      </c>
      <c r="E63" s="9" t="s">
        <v>902</v>
      </c>
      <c r="F63" s="9" t="s">
        <v>903</v>
      </c>
      <c r="G63" s="10"/>
      <c r="H63" s="10" t="s">
        <v>904</v>
      </c>
      <c r="I63" s="10" t="s">
        <v>905</v>
      </c>
      <c r="J63" s="10" t="s">
        <v>906</v>
      </c>
      <c r="K63" s="9" t="s">
        <v>194</v>
      </c>
      <c r="L63" s="10" t="s">
        <v>194</v>
      </c>
      <c r="M63" s="26">
        <v>30</v>
      </c>
      <c r="N63" s="26">
        <v>70</v>
      </c>
      <c r="O63" s="11">
        <f>IF(AND(M63&lt;&gt;"",N63&lt;&gt;""),(N63-M63)/N63,"")</f>
        <v>0.5714285714285714</v>
      </c>
      <c r="P63" s="12"/>
      <c r="Q63" s="13" t="str">
        <f t="shared" si="10"/>
        <v>Amazon search</v>
      </c>
      <c r="R63" s="12"/>
      <c r="S63" s="13" t="str">
        <f>HYPERLINK("https://robu.in/?s="&amp;SUBSTITUTE($D63," ","+")&amp;"&amp;post_type=product","Robu search")</f>
        <v>Robu search</v>
      </c>
      <c r="T63" s="12"/>
      <c r="U63" s="13" t="str">
        <f t="shared" si="11"/>
        <v>Alibaba search</v>
      </c>
      <c r="V63" s="12"/>
      <c r="W63" s="13" t="str">
        <f t="shared" si="12"/>
        <v>LCSC search</v>
      </c>
      <c r="X63" s="12"/>
      <c r="Y63" s="13" t="str">
        <f t="shared" si="13"/>
        <v>Mouser search</v>
      </c>
      <c r="Z63" s="12"/>
      <c r="AA63" s="13" t="str">
        <f t="shared" si="14"/>
        <v>DigiKey search</v>
      </c>
      <c r="AB63" s="9"/>
      <c r="AC63" s="9">
        <f>Inputs_Assumptions!$B$7</f>
        <v>150</v>
      </c>
      <c r="AD63" s="9">
        <f>Inputs_Assumptions!$B$7</f>
        <v>150</v>
      </c>
      <c r="AE63" s="11">
        <f>Inputs_Assumptions!$B$5</f>
        <v>0.1</v>
      </c>
      <c r="AF63" s="11">
        <f>Inputs_Assumptions!$B$6</f>
        <v>0.18</v>
      </c>
      <c r="AG63" s="14">
        <f>Inputs_Assumptions!$B$4</f>
        <v>83</v>
      </c>
      <c r="AH63" s="12"/>
      <c r="AI63" s="15"/>
      <c r="AJ63" s="16">
        <f t="shared" si="15"/>
        <v>212.39999999999998</v>
      </c>
      <c r="AK63" s="11">
        <f>Inputs_Assumptions!$B$9</f>
        <v>0.35</v>
      </c>
      <c r="AL63" s="16">
        <f t="shared" si="16"/>
        <v>326.76923076923072</v>
      </c>
      <c r="AM63" s="11">
        <f>Inputs_Assumptions!$B$8</f>
        <v>0.18</v>
      </c>
      <c r="AN63" s="11" t="str">
        <f t="shared" si="17"/>
        <v/>
      </c>
      <c r="AO63" s="17" t="s">
        <v>168</v>
      </c>
      <c r="AP63" s="17"/>
      <c r="AQ63" s="17"/>
      <c r="AR63" s="17"/>
      <c r="AS63" s="17"/>
      <c r="AT63" s="10"/>
      <c r="AU63" s="9"/>
      <c r="AV63" s="10"/>
      <c r="AW63" t="s">
        <v>8</v>
      </c>
      <c r="BV63" s="9" t="s">
        <v>498</v>
      </c>
      <c r="BW63" s="9" t="s">
        <v>210</v>
      </c>
      <c r="BX63" s="9" t="s">
        <v>310</v>
      </c>
      <c r="BY63" s="9" t="s">
        <v>907</v>
      </c>
      <c r="BZ63" s="9" t="s">
        <v>312</v>
      </c>
      <c r="CA63" s="9" t="s">
        <v>146</v>
      </c>
      <c r="CB63" s="9" t="s">
        <v>147</v>
      </c>
      <c r="CC63" s="9" t="s">
        <v>148</v>
      </c>
      <c r="CD63" s="9"/>
      <c r="CE63" s="9" t="s">
        <v>149</v>
      </c>
      <c r="CF63" s="9"/>
      <c r="CG63" s="9"/>
      <c r="CH63" s="9" t="s">
        <v>150</v>
      </c>
      <c r="CI63" s="9" t="s">
        <v>150</v>
      </c>
      <c r="CJ63" s="9">
        <v>7</v>
      </c>
      <c r="CK63" s="9" t="s">
        <v>408</v>
      </c>
      <c r="CL63" s="9" t="s">
        <v>152</v>
      </c>
      <c r="CM63" s="9" t="s">
        <v>409</v>
      </c>
      <c r="CN63" s="9" t="s">
        <v>154</v>
      </c>
      <c r="CO63" s="9" t="s">
        <v>150</v>
      </c>
      <c r="CP63" s="9"/>
      <c r="CQ63" s="9"/>
      <c r="CR63" s="9" t="s">
        <v>155</v>
      </c>
      <c r="CS63" s="9" t="s">
        <v>500</v>
      </c>
      <c r="CT63" t="s">
        <v>173</v>
      </c>
      <c r="CU63">
        <v>21.2</v>
      </c>
      <c r="CV63" t="s">
        <v>908</v>
      </c>
    </row>
    <row r="64" spans="1:100" ht="45" hidden="1" customHeight="1" x14ac:dyDescent="0.3">
      <c r="A64" s="9" t="s">
        <v>909</v>
      </c>
      <c r="B64" s="9" t="s">
        <v>856</v>
      </c>
      <c r="C64" s="9" t="s">
        <v>845</v>
      </c>
      <c r="D64" s="10" t="s">
        <v>910</v>
      </c>
      <c r="E64" s="9" t="s">
        <v>515</v>
      </c>
      <c r="F64" s="9" t="s">
        <v>911</v>
      </c>
      <c r="G64" s="10" t="s">
        <v>912</v>
      </c>
      <c r="H64" s="10" t="s">
        <v>913</v>
      </c>
      <c r="I64" s="10" t="s">
        <v>914</v>
      </c>
      <c r="J64" s="10" t="s">
        <v>830</v>
      </c>
      <c r="K64" s="9" t="s">
        <v>194</v>
      </c>
      <c r="L64" s="10" t="s">
        <v>194</v>
      </c>
      <c r="M64" s="26">
        <v>450</v>
      </c>
      <c r="N64" s="26">
        <v>900</v>
      </c>
      <c r="O64" s="11">
        <f>IF(AND(M64&lt;&gt;"",N64&lt;&gt;""),(N64-M64)/N64,"")</f>
        <v>0.5</v>
      </c>
      <c r="P64" s="12"/>
      <c r="Q64" s="13" t="str">
        <f t="shared" si="10"/>
        <v>Amazon search</v>
      </c>
      <c r="R64" s="12"/>
      <c r="S64" s="13" t="str">
        <f>HYPERLINK("https://robu.in/?s="&amp;SUBSTITUTE($D64," ","+")&amp;"&amp;post_type=product","Robu search")</f>
        <v>Robu search</v>
      </c>
      <c r="T64" s="12"/>
      <c r="U64" s="13" t="str">
        <f t="shared" si="11"/>
        <v>Alibaba search</v>
      </c>
      <c r="V64" s="12"/>
      <c r="W64" s="13" t="str">
        <f t="shared" si="12"/>
        <v>LCSC search</v>
      </c>
      <c r="X64" s="12"/>
      <c r="Y64" s="13" t="str">
        <f t="shared" si="13"/>
        <v>Mouser search</v>
      </c>
      <c r="Z64" s="12"/>
      <c r="AA64" s="13" t="str">
        <f t="shared" si="14"/>
        <v>DigiKey search</v>
      </c>
      <c r="AB64" s="9"/>
      <c r="AC64" s="9">
        <f>Inputs_Assumptions!$B$7</f>
        <v>150</v>
      </c>
      <c r="AD64" s="9">
        <f>Inputs_Assumptions!$B$7</f>
        <v>150</v>
      </c>
      <c r="AE64" s="11">
        <f>Inputs_Assumptions!$B$5</f>
        <v>0.1</v>
      </c>
      <c r="AF64" s="11">
        <f>Inputs_Assumptions!$B$6</f>
        <v>0.18</v>
      </c>
      <c r="AG64" s="14">
        <f>Inputs_Assumptions!$B$4</f>
        <v>83</v>
      </c>
      <c r="AH64" s="12"/>
      <c r="AI64" s="15"/>
      <c r="AJ64" s="16">
        <f t="shared" si="15"/>
        <v>708</v>
      </c>
      <c r="AK64" s="11">
        <f>Inputs_Assumptions!$B$9</f>
        <v>0.35</v>
      </c>
      <c r="AL64" s="16">
        <f t="shared" si="16"/>
        <v>1089.2307692307693</v>
      </c>
      <c r="AM64" s="11">
        <f>Inputs_Assumptions!$B$8</f>
        <v>0.18</v>
      </c>
      <c r="AN64" s="11" t="str">
        <f t="shared" si="17"/>
        <v/>
      </c>
      <c r="AO64" s="17" t="s">
        <v>168</v>
      </c>
      <c r="AP64" s="17">
        <v>5</v>
      </c>
      <c r="AQ64" s="17">
        <v>5</v>
      </c>
      <c r="AR64" s="17">
        <v>10</v>
      </c>
      <c r="AS64" s="17">
        <v>2</v>
      </c>
      <c r="AT64" s="10"/>
      <c r="AU64" s="9"/>
      <c r="AV64" s="10"/>
      <c r="AW64" t="s">
        <v>8</v>
      </c>
      <c r="BV64" s="9" t="s">
        <v>536</v>
      </c>
      <c r="BW64" s="9" t="s">
        <v>210</v>
      </c>
      <c r="BX64" s="9" t="s">
        <v>310</v>
      </c>
      <c r="BY64" s="9" t="s">
        <v>915</v>
      </c>
      <c r="BZ64" s="9" t="s">
        <v>312</v>
      </c>
      <c r="CA64" s="9" t="s">
        <v>146</v>
      </c>
      <c r="CB64" s="9" t="s">
        <v>147</v>
      </c>
      <c r="CC64" s="9" t="s">
        <v>148</v>
      </c>
      <c r="CD64" s="9"/>
      <c r="CE64" s="9" t="s">
        <v>149</v>
      </c>
      <c r="CF64" s="9"/>
      <c r="CG64" s="9"/>
      <c r="CH64" s="9" t="s">
        <v>150</v>
      </c>
      <c r="CI64" s="9" t="s">
        <v>150</v>
      </c>
      <c r="CJ64" s="9">
        <v>7</v>
      </c>
      <c r="CK64" s="9" t="s">
        <v>408</v>
      </c>
      <c r="CL64" s="9" t="s">
        <v>152</v>
      </c>
      <c r="CM64" s="9" t="s">
        <v>409</v>
      </c>
      <c r="CN64" s="9" t="s">
        <v>154</v>
      </c>
      <c r="CO64" s="9" t="s">
        <v>150</v>
      </c>
      <c r="CP64" s="9"/>
      <c r="CQ64" s="9"/>
      <c r="CR64" s="9" t="s">
        <v>155</v>
      </c>
      <c r="CS64" s="9" t="s">
        <v>538</v>
      </c>
      <c r="CT64" t="s">
        <v>173</v>
      </c>
      <c r="CU64">
        <v>25.2</v>
      </c>
      <c r="CV64" t="s">
        <v>916</v>
      </c>
    </row>
    <row r="65" spans="1:100" ht="45" hidden="1" customHeight="1" x14ac:dyDescent="0.3">
      <c r="A65" s="9" t="s">
        <v>917</v>
      </c>
      <c r="B65" s="9" t="s">
        <v>856</v>
      </c>
      <c r="C65" s="9" t="s">
        <v>845</v>
      </c>
      <c r="D65" s="10" t="s">
        <v>918</v>
      </c>
      <c r="E65" s="9" t="s">
        <v>515</v>
      </c>
      <c r="F65" s="9" t="s">
        <v>919</v>
      </c>
      <c r="G65" s="10" t="s">
        <v>912</v>
      </c>
      <c r="H65" s="10" t="s">
        <v>920</v>
      </c>
      <c r="I65" s="10" t="s">
        <v>921</v>
      </c>
      <c r="J65" s="10" t="s">
        <v>830</v>
      </c>
      <c r="K65" s="9" t="s">
        <v>194</v>
      </c>
      <c r="L65" s="10" t="s">
        <v>194</v>
      </c>
      <c r="M65" s="26">
        <v>350</v>
      </c>
      <c r="N65" s="26">
        <v>750</v>
      </c>
      <c r="O65" s="11">
        <f>IF(AND(M65&lt;&gt;"",N65&lt;&gt;""),(N65-M65)/N65,"")</f>
        <v>0.53333333333333333</v>
      </c>
      <c r="P65" s="12"/>
      <c r="Q65" s="13" t="str">
        <f t="shared" si="10"/>
        <v>Amazon search</v>
      </c>
      <c r="R65" s="12"/>
      <c r="S65" s="13" t="str">
        <f>HYPERLINK("https://robu.in/?s="&amp;SUBSTITUTE($D65," ","+")&amp;"&amp;post_type=product","Robu search")</f>
        <v>Robu search</v>
      </c>
      <c r="T65" s="12"/>
      <c r="U65" s="13" t="str">
        <f t="shared" si="11"/>
        <v>Alibaba search</v>
      </c>
      <c r="V65" s="12"/>
      <c r="W65" s="13" t="str">
        <f t="shared" si="12"/>
        <v>LCSC search</v>
      </c>
      <c r="X65" s="12"/>
      <c r="Y65" s="13" t="str">
        <f t="shared" si="13"/>
        <v>Mouser search</v>
      </c>
      <c r="Z65" s="12"/>
      <c r="AA65" s="13" t="str">
        <f t="shared" si="14"/>
        <v>DigiKey search</v>
      </c>
      <c r="AB65" s="9"/>
      <c r="AC65" s="9">
        <f>Inputs_Assumptions!$B$7</f>
        <v>150</v>
      </c>
      <c r="AD65" s="9">
        <f>Inputs_Assumptions!$B$7</f>
        <v>150</v>
      </c>
      <c r="AE65" s="11">
        <f>Inputs_Assumptions!$B$5</f>
        <v>0.1</v>
      </c>
      <c r="AF65" s="11">
        <f>Inputs_Assumptions!$B$6</f>
        <v>0.18</v>
      </c>
      <c r="AG65" s="14">
        <f>Inputs_Assumptions!$B$4</f>
        <v>83</v>
      </c>
      <c r="AH65" s="12"/>
      <c r="AI65" s="15"/>
      <c r="AJ65" s="16">
        <f t="shared" si="15"/>
        <v>590</v>
      </c>
      <c r="AK65" s="11">
        <f>Inputs_Assumptions!$B$9</f>
        <v>0.35</v>
      </c>
      <c r="AL65" s="16">
        <f t="shared" si="16"/>
        <v>907.69230769230762</v>
      </c>
      <c r="AM65" s="11">
        <f>Inputs_Assumptions!$B$8</f>
        <v>0.18</v>
      </c>
      <c r="AN65" s="11" t="str">
        <f t="shared" si="17"/>
        <v/>
      </c>
      <c r="AO65" s="17" t="s">
        <v>168</v>
      </c>
      <c r="AP65" s="17"/>
      <c r="AQ65" s="17"/>
      <c r="AR65" s="17"/>
      <c r="AS65" s="17"/>
      <c r="AT65" s="10"/>
      <c r="AU65" s="9"/>
      <c r="AV65" s="10"/>
      <c r="AW65" t="s">
        <v>8</v>
      </c>
      <c r="BV65" s="9" t="s">
        <v>922</v>
      </c>
      <c r="BW65" s="9" t="s">
        <v>210</v>
      </c>
      <c r="BX65" s="9" t="s">
        <v>310</v>
      </c>
      <c r="BY65" s="9" t="s">
        <v>923</v>
      </c>
      <c r="BZ65" s="9" t="s">
        <v>312</v>
      </c>
      <c r="CA65" s="9" t="s">
        <v>146</v>
      </c>
      <c r="CB65" s="9" t="s">
        <v>147</v>
      </c>
      <c r="CC65" s="9" t="s">
        <v>148</v>
      </c>
      <c r="CD65" s="9"/>
      <c r="CE65" s="9" t="s">
        <v>149</v>
      </c>
      <c r="CF65" s="9"/>
      <c r="CG65" s="9"/>
      <c r="CH65" s="9" t="s">
        <v>150</v>
      </c>
      <c r="CI65" s="9" t="s">
        <v>150</v>
      </c>
      <c r="CJ65" s="9">
        <v>7</v>
      </c>
      <c r="CK65" s="9" t="s">
        <v>408</v>
      </c>
      <c r="CL65" s="9" t="s">
        <v>152</v>
      </c>
      <c r="CM65" s="9" t="s">
        <v>409</v>
      </c>
      <c r="CN65" s="9" t="s">
        <v>154</v>
      </c>
      <c r="CO65" s="9" t="s">
        <v>150</v>
      </c>
      <c r="CP65" s="9"/>
      <c r="CQ65" s="9"/>
      <c r="CR65" s="9" t="s">
        <v>155</v>
      </c>
      <c r="CS65" s="9" t="s">
        <v>924</v>
      </c>
      <c r="CT65" t="s">
        <v>173</v>
      </c>
      <c r="CU65">
        <v>21.2</v>
      </c>
      <c r="CV65" t="s">
        <v>925</v>
      </c>
    </row>
    <row r="66" spans="1:100" ht="45" hidden="1" customHeight="1" x14ac:dyDescent="0.3">
      <c r="A66" s="9" t="s">
        <v>926</v>
      </c>
      <c r="B66" s="9" t="s">
        <v>856</v>
      </c>
      <c r="C66" s="9" t="s">
        <v>900</v>
      </c>
      <c r="D66" s="10" t="s">
        <v>927</v>
      </c>
      <c r="E66" s="9" t="s">
        <v>928</v>
      </c>
      <c r="F66" s="9" t="s">
        <v>929</v>
      </c>
      <c r="G66" s="10" t="s">
        <v>912</v>
      </c>
      <c r="H66" s="10" t="s">
        <v>930</v>
      </c>
      <c r="I66" s="10" t="s">
        <v>931</v>
      </c>
      <c r="J66" s="10" t="s">
        <v>830</v>
      </c>
      <c r="K66" s="9" t="s">
        <v>165</v>
      </c>
      <c r="L66" s="10" t="s">
        <v>165</v>
      </c>
      <c r="M66" s="26">
        <v>12</v>
      </c>
      <c r="N66" s="26">
        <v>30</v>
      </c>
      <c r="O66" s="11">
        <f>IF(AND(M66&lt;&gt;"",N66&lt;&gt;""),(N66-M66)/N66,"")</f>
        <v>0.6</v>
      </c>
      <c r="P66" s="12"/>
      <c r="Q66" s="13" t="str">
        <f t="shared" si="10"/>
        <v>Amazon search</v>
      </c>
      <c r="R66" s="12"/>
      <c r="S66" s="13" t="str">
        <f>HYPERLINK("https://robu.in/?s="&amp;SUBSTITUTE($D66," ","+")&amp;"&amp;post_type=product","Robu search")</f>
        <v>Robu search</v>
      </c>
      <c r="T66" s="12"/>
      <c r="U66" s="13" t="str">
        <f t="shared" si="11"/>
        <v>Alibaba search</v>
      </c>
      <c r="V66" s="12"/>
      <c r="W66" s="13" t="str">
        <f t="shared" ref="W66:W72" si="18">HYPERLINK("https://www.lcsc.com/search?q="&amp;SUBSTITUTE($D66," ","+"),"LCSC search")</f>
        <v>LCSC search</v>
      </c>
      <c r="X66" s="12"/>
      <c r="Y66" s="13" t="str">
        <f t="shared" ref="Y66:Y72" si="19">HYPERLINK("https://www.mouser.in/c/?q="&amp;SUBSTITUTE($D66," ","+"),"Mouser search")</f>
        <v>Mouser search</v>
      </c>
      <c r="Z66" s="12"/>
      <c r="AA66" s="13" t="str">
        <f t="shared" ref="AA66:AA72" si="20">HYPERLINK("https://www.digikey.in/en/products/filter?keywords="&amp;SUBSTITUTE($D66," ","+"),"DigiKey search")</f>
        <v>DigiKey search</v>
      </c>
      <c r="AB66" s="9"/>
      <c r="AC66" s="9">
        <f>Inputs_Assumptions!$B$7</f>
        <v>150</v>
      </c>
      <c r="AD66" s="9">
        <f>Inputs_Assumptions!$B$7</f>
        <v>150</v>
      </c>
      <c r="AE66" s="11">
        <f>Inputs_Assumptions!$B$5</f>
        <v>0.1</v>
      </c>
      <c r="AF66" s="11">
        <f>Inputs_Assumptions!$B$6</f>
        <v>0.18</v>
      </c>
      <c r="AG66" s="14">
        <f>Inputs_Assumptions!$B$4</f>
        <v>83</v>
      </c>
      <c r="AH66" s="12"/>
      <c r="AI66" s="15"/>
      <c r="AJ66" s="16">
        <f t="shared" ref="AJ66:AJ72" si="21">IF(AH66&lt;&gt;"",(AH66*AG66+AD66)*(1+AE66)*(1+AF66),(M66+AD66)*(1+AF66))</f>
        <v>191.16</v>
      </c>
      <c r="AK66" s="11">
        <f>Inputs_Assumptions!$B$9</f>
        <v>0.35</v>
      </c>
      <c r="AL66" s="16">
        <f t="shared" ref="AL66:AL72" si="22">IF(AJ66&lt;&gt;"",AJ66/(1-AK66),"")</f>
        <v>294.09230769230766</v>
      </c>
      <c r="AM66" s="11">
        <f>Inputs_Assumptions!$B$8</f>
        <v>0.18</v>
      </c>
      <c r="AN66" s="11" t="str">
        <f t="shared" ref="AN66:AN72" si="23">IF(AND(P66&lt;&gt;"",AJ66&lt;&gt;"",AM66&lt;&gt;""),(P66-AJ66-P66*AM66)/P66,"")</f>
        <v/>
      </c>
      <c r="AO66" s="17" t="s">
        <v>268</v>
      </c>
      <c r="AP66" s="17"/>
      <c r="AQ66" s="17"/>
      <c r="AR66" s="17"/>
      <c r="AS66" s="17"/>
      <c r="AT66" s="10"/>
      <c r="AU66" s="9"/>
      <c r="AV66" s="10"/>
      <c r="AW66" t="s">
        <v>8</v>
      </c>
      <c r="BV66" s="9" t="s">
        <v>209</v>
      </c>
      <c r="BW66" s="9" t="s">
        <v>210</v>
      </c>
      <c r="BX66" s="9" t="s">
        <v>310</v>
      </c>
      <c r="BY66" s="9" t="s">
        <v>932</v>
      </c>
      <c r="BZ66" s="9" t="s">
        <v>312</v>
      </c>
      <c r="CA66" s="9" t="s">
        <v>146</v>
      </c>
      <c r="CB66" s="9" t="s">
        <v>147</v>
      </c>
      <c r="CC66" s="9" t="s">
        <v>148</v>
      </c>
      <c r="CD66" s="9"/>
      <c r="CE66" s="9" t="s">
        <v>149</v>
      </c>
      <c r="CF66" s="9"/>
      <c r="CG66" s="9"/>
      <c r="CH66" s="9" t="s">
        <v>150</v>
      </c>
      <c r="CI66" s="9" t="s">
        <v>150</v>
      </c>
      <c r="CJ66" s="9">
        <v>7</v>
      </c>
      <c r="CK66" s="9" t="s">
        <v>408</v>
      </c>
      <c r="CL66" s="9" t="s">
        <v>152</v>
      </c>
      <c r="CM66" s="9" t="s">
        <v>409</v>
      </c>
      <c r="CN66" s="9" t="s">
        <v>154</v>
      </c>
      <c r="CO66" s="9" t="s">
        <v>150</v>
      </c>
      <c r="CP66" s="9"/>
      <c r="CQ66" s="9"/>
      <c r="CR66" s="9" t="s">
        <v>155</v>
      </c>
      <c r="CS66" s="9" t="s">
        <v>832</v>
      </c>
      <c r="CT66" t="s">
        <v>272</v>
      </c>
      <c r="CU66">
        <v>15</v>
      </c>
      <c r="CV66" t="s">
        <v>933</v>
      </c>
    </row>
    <row r="67" spans="1:100" ht="45" hidden="1" customHeight="1" x14ac:dyDescent="0.3">
      <c r="A67" s="9" t="s">
        <v>934</v>
      </c>
      <c r="B67" s="9" t="s">
        <v>935</v>
      </c>
      <c r="C67" s="9" t="s">
        <v>935</v>
      </c>
      <c r="D67" s="10" t="s">
        <v>936</v>
      </c>
      <c r="E67" s="9" t="s">
        <v>515</v>
      </c>
      <c r="F67" s="9" t="s">
        <v>937</v>
      </c>
      <c r="G67" s="10" t="s">
        <v>938</v>
      </c>
      <c r="H67" s="10" t="s">
        <v>939</v>
      </c>
      <c r="I67" s="10" t="s">
        <v>940</v>
      </c>
      <c r="J67" s="10" t="s">
        <v>884</v>
      </c>
      <c r="K67" s="9" t="s">
        <v>194</v>
      </c>
      <c r="L67" s="10" t="s">
        <v>194</v>
      </c>
      <c r="M67" s="26">
        <v>355</v>
      </c>
      <c r="N67" s="26">
        <v>550</v>
      </c>
      <c r="O67" s="27">
        <v>0.35449999999999998</v>
      </c>
      <c r="P67" s="12"/>
      <c r="Q67" s="13" t="str">
        <f t="shared" si="10"/>
        <v>Amazon search</v>
      </c>
      <c r="R67" s="28">
        <v>355</v>
      </c>
      <c r="S67" s="13" t="s">
        <v>941</v>
      </c>
      <c r="T67" s="12"/>
      <c r="U67" s="13" t="str">
        <f t="shared" si="11"/>
        <v>Alibaba search</v>
      </c>
      <c r="V67" s="12"/>
      <c r="W67" s="13" t="str">
        <f t="shared" si="18"/>
        <v>LCSC search</v>
      </c>
      <c r="X67" s="12"/>
      <c r="Y67" s="13" t="str">
        <f t="shared" si="19"/>
        <v>Mouser search</v>
      </c>
      <c r="Z67" s="12"/>
      <c r="AA67" s="13" t="str">
        <f t="shared" si="20"/>
        <v>DigiKey search</v>
      </c>
      <c r="AB67" s="9"/>
      <c r="AC67" s="9">
        <f>Inputs_Assumptions!$B$7</f>
        <v>150</v>
      </c>
      <c r="AD67" s="9">
        <f>Inputs_Assumptions!$B$7</f>
        <v>150</v>
      </c>
      <c r="AE67" s="11">
        <f>Inputs_Assumptions!$B$5</f>
        <v>0.1</v>
      </c>
      <c r="AF67" s="11">
        <f>Inputs_Assumptions!$B$6</f>
        <v>0.18</v>
      </c>
      <c r="AG67" s="14">
        <f>Inputs_Assumptions!$B$4</f>
        <v>83</v>
      </c>
      <c r="AH67" s="12"/>
      <c r="AI67" s="15"/>
      <c r="AJ67" s="16">
        <f t="shared" si="21"/>
        <v>595.9</v>
      </c>
      <c r="AK67" s="11">
        <f>Inputs_Assumptions!$B$9</f>
        <v>0.35</v>
      </c>
      <c r="AL67" s="16">
        <f t="shared" si="22"/>
        <v>916.76923076923072</v>
      </c>
      <c r="AM67" s="11">
        <f>Inputs_Assumptions!$B$8</f>
        <v>0.18</v>
      </c>
      <c r="AN67" s="11" t="str">
        <f t="shared" si="23"/>
        <v/>
      </c>
      <c r="AO67" s="17" t="s">
        <v>139</v>
      </c>
      <c r="AP67" s="17">
        <v>2</v>
      </c>
      <c r="AQ67" s="17">
        <v>2</v>
      </c>
      <c r="AR67" s="17">
        <v>4</v>
      </c>
      <c r="AS67" s="17">
        <v>1</v>
      </c>
      <c r="AT67" s="10"/>
      <c r="AU67" s="29" t="s">
        <v>140</v>
      </c>
      <c r="AV67" s="10"/>
      <c r="AW67" t="s">
        <v>8</v>
      </c>
      <c r="BC67" s="30" t="s">
        <v>140</v>
      </c>
      <c r="BD67" t="s">
        <v>394</v>
      </c>
      <c r="BE67" t="s">
        <v>395</v>
      </c>
      <c r="BF67" t="s">
        <v>396</v>
      </c>
      <c r="BG67" t="s">
        <v>397</v>
      </c>
      <c r="BM67" s="31">
        <v>355</v>
      </c>
      <c r="BN67" t="s">
        <v>398</v>
      </c>
      <c r="BO67" t="s">
        <v>941</v>
      </c>
      <c r="BP67" t="s">
        <v>394</v>
      </c>
      <c r="BQ67" t="s">
        <v>395</v>
      </c>
      <c r="BR67" t="s">
        <v>396</v>
      </c>
      <c r="BS67" t="s">
        <v>397</v>
      </c>
      <c r="BT67" s="30" t="s">
        <v>140</v>
      </c>
      <c r="BU67" t="s">
        <v>942</v>
      </c>
      <c r="BV67" s="9" t="s">
        <v>572</v>
      </c>
      <c r="BW67" s="9" t="s">
        <v>210</v>
      </c>
      <c r="BX67" s="9" t="s">
        <v>310</v>
      </c>
      <c r="BY67" s="9" t="s">
        <v>943</v>
      </c>
      <c r="BZ67" s="9" t="s">
        <v>312</v>
      </c>
      <c r="CA67" s="9" t="s">
        <v>146</v>
      </c>
      <c r="CB67" s="9" t="s">
        <v>404</v>
      </c>
      <c r="CC67" s="9" t="s">
        <v>405</v>
      </c>
      <c r="CD67" s="9" t="s">
        <v>941</v>
      </c>
      <c r="CE67" s="9" t="s">
        <v>406</v>
      </c>
      <c r="CF67" s="9"/>
      <c r="CG67" s="9"/>
      <c r="CH67" s="9" t="s">
        <v>407</v>
      </c>
      <c r="CI67" s="9" t="s">
        <v>150</v>
      </c>
      <c r="CJ67" s="9">
        <v>7</v>
      </c>
      <c r="CK67" s="9" t="s">
        <v>408</v>
      </c>
      <c r="CL67" s="9" t="s">
        <v>152</v>
      </c>
      <c r="CM67" s="9" t="s">
        <v>409</v>
      </c>
      <c r="CN67" s="9" t="s">
        <v>410</v>
      </c>
      <c r="CO67" s="9" t="s">
        <v>407</v>
      </c>
      <c r="CP67" s="9" t="s">
        <v>394</v>
      </c>
      <c r="CQ67" s="9" t="s">
        <v>944</v>
      </c>
      <c r="CR67" s="9" t="s">
        <v>155</v>
      </c>
      <c r="CS67" s="9" t="s">
        <v>660</v>
      </c>
      <c r="CT67" t="s">
        <v>157</v>
      </c>
      <c r="CU67">
        <v>29.4</v>
      </c>
      <c r="CV67" t="s">
        <v>945</v>
      </c>
    </row>
    <row r="68" spans="1:100" ht="45" hidden="1" customHeight="1" x14ac:dyDescent="0.3">
      <c r="A68" s="9" t="s">
        <v>946</v>
      </c>
      <c r="B68" s="9" t="s">
        <v>935</v>
      </c>
      <c r="C68" s="9" t="s">
        <v>935</v>
      </c>
      <c r="D68" s="10" t="s">
        <v>947</v>
      </c>
      <c r="E68" s="9" t="s">
        <v>515</v>
      </c>
      <c r="F68" s="9" t="s">
        <v>948</v>
      </c>
      <c r="G68" s="10" t="s">
        <v>949</v>
      </c>
      <c r="H68" s="10" t="s">
        <v>950</v>
      </c>
      <c r="I68" s="10" t="s">
        <v>951</v>
      </c>
      <c r="J68" s="10" t="s">
        <v>495</v>
      </c>
      <c r="K68" s="9" t="s">
        <v>194</v>
      </c>
      <c r="L68" s="10" t="s">
        <v>194</v>
      </c>
      <c r="M68" s="33">
        <v>3345</v>
      </c>
      <c r="N68" s="33">
        <v>5150</v>
      </c>
      <c r="O68" s="27">
        <v>0.35049999999999998</v>
      </c>
      <c r="P68" s="12"/>
      <c r="Q68" s="13" t="str">
        <f t="shared" si="10"/>
        <v>Amazon search</v>
      </c>
      <c r="R68" s="28">
        <v>3345</v>
      </c>
      <c r="S68" s="32" t="s">
        <v>952</v>
      </c>
      <c r="T68" s="12"/>
      <c r="U68" s="13" t="str">
        <f t="shared" si="11"/>
        <v>Alibaba search</v>
      </c>
      <c r="V68" s="12"/>
      <c r="W68" s="13" t="str">
        <f t="shared" si="18"/>
        <v>LCSC search</v>
      </c>
      <c r="X68" s="12"/>
      <c r="Y68" s="13" t="str">
        <f t="shared" si="19"/>
        <v>Mouser search</v>
      </c>
      <c r="Z68" s="12"/>
      <c r="AA68" s="13" t="str">
        <f t="shared" si="20"/>
        <v>DigiKey search</v>
      </c>
      <c r="AB68" s="9"/>
      <c r="AC68" s="9">
        <f>Inputs_Assumptions!$B$7</f>
        <v>150</v>
      </c>
      <c r="AD68" s="9">
        <f>Inputs_Assumptions!$B$7</f>
        <v>150</v>
      </c>
      <c r="AE68" s="11">
        <f>Inputs_Assumptions!$B$5</f>
        <v>0.1</v>
      </c>
      <c r="AF68" s="11">
        <f>Inputs_Assumptions!$B$6</f>
        <v>0.18</v>
      </c>
      <c r="AG68" s="14">
        <f>Inputs_Assumptions!$B$4</f>
        <v>83</v>
      </c>
      <c r="AH68" s="12"/>
      <c r="AI68" s="15"/>
      <c r="AJ68" s="16">
        <f t="shared" si="21"/>
        <v>4124.0999999999995</v>
      </c>
      <c r="AK68" s="11">
        <f>Inputs_Assumptions!$B$9</f>
        <v>0.35</v>
      </c>
      <c r="AL68" s="16">
        <f t="shared" si="22"/>
        <v>6344.7692307692296</v>
      </c>
      <c r="AM68" s="11">
        <f>Inputs_Assumptions!$B$8</f>
        <v>0.18</v>
      </c>
      <c r="AN68" s="11" t="str">
        <f t="shared" si="23"/>
        <v/>
      </c>
      <c r="AO68" s="17" t="s">
        <v>168</v>
      </c>
      <c r="AP68" s="17"/>
      <c r="AQ68" s="17">
        <v>4</v>
      </c>
      <c r="AR68" s="17">
        <v>8</v>
      </c>
      <c r="AS68" s="17">
        <v>1</v>
      </c>
      <c r="AT68" s="10"/>
      <c r="AU68" s="29" t="s">
        <v>140</v>
      </c>
      <c r="AV68" s="10"/>
      <c r="AW68" t="s">
        <v>8</v>
      </c>
      <c r="BC68" s="30" t="s">
        <v>140</v>
      </c>
      <c r="BD68" t="s">
        <v>394</v>
      </c>
      <c r="BE68" t="s">
        <v>395</v>
      </c>
      <c r="BF68" t="s">
        <v>396</v>
      </c>
      <c r="BG68" t="s">
        <v>397</v>
      </c>
      <c r="BM68" s="31">
        <v>3345</v>
      </c>
      <c r="BN68" t="s">
        <v>398</v>
      </c>
      <c r="BO68" t="s">
        <v>952</v>
      </c>
      <c r="BP68" t="s">
        <v>394</v>
      </c>
      <c r="BQ68" t="s">
        <v>395</v>
      </c>
      <c r="BR68" t="s">
        <v>396</v>
      </c>
      <c r="BS68" t="s">
        <v>397</v>
      </c>
      <c r="BT68" s="30" t="s">
        <v>140</v>
      </c>
      <c r="BV68" s="9" t="s">
        <v>400</v>
      </c>
      <c r="BW68" s="9" t="s">
        <v>210</v>
      </c>
      <c r="BX68" s="9" t="s">
        <v>784</v>
      </c>
      <c r="BY68" s="9" t="s">
        <v>953</v>
      </c>
      <c r="BZ68" s="9" t="s">
        <v>786</v>
      </c>
      <c r="CA68" s="9" t="s">
        <v>146</v>
      </c>
      <c r="CB68" s="9" t="s">
        <v>404</v>
      </c>
      <c r="CC68" s="9" t="s">
        <v>405</v>
      </c>
      <c r="CD68" s="9" t="s">
        <v>952</v>
      </c>
      <c r="CE68" s="9" t="s">
        <v>406</v>
      </c>
      <c r="CF68" s="9"/>
      <c r="CG68" s="9"/>
      <c r="CH68" s="9" t="s">
        <v>407</v>
      </c>
      <c r="CI68" s="9" t="s">
        <v>150</v>
      </c>
      <c r="CJ68" s="9">
        <v>7</v>
      </c>
      <c r="CK68" s="9" t="s">
        <v>787</v>
      </c>
      <c r="CL68" s="9" t="s">
        <v>152</v>
      </c>
      <c r="CM68" s="9" t="s">
        <v>788</v>
      </c>
      <c r="CN68" s="9" t="s">
        <v>410</v>
      </c>
      <c r="CO68" s="9" t="s">
        <v>407</v>
      </c>
      <c r="CP68" s="9" t="s">
        <v>394</v>
      </c>
      <c r="CQ68" s="9" t="s">
        <v>954</v>
      </c>
      <c r="CR68" s="9" t="s">
        <v>155</v>
      </c>
      <c r="CS68" s="9" t="s">
        <v>955</v>
      </c>
      <c r="CT68" t="s">
        <v>173</v>
      </c>
      <c r="CU68">
        <v>25.4</v>
      </c>
      <c r="CV68" t="s">
        <v>956</v>
      </c>
    </row>
    <row r="69" spans="1:100" ht="45" hidden="1" customHeight="1" x14ac:dyDescent="0.3">
      <c r="A69" s="9" t="s">
        <v>957</v>
      </c>
      <c r="B69" s="9" t="s">
        <v>935</v>
      </c>
      <c r="C69" s="9" t="s">
        <v>935</v>
      </c>
      <c r="D69" s="10" t="s">
        <v>958</v>
      </c>
      <c r="E69" s="9" t="s">
        <v>515</v>
      </c>
      <c r="F69" s="9" t="s">
        <v>959</v>
      </c>
      <c r="G69" s="10" t="s">
        <v>960</v>
      </c>
      <c r="H69" s="10" t="s">
        <v>961</v>
      </c>
      <c r="I69" s="10" t="s">
        <v>940</v>
      </c>
      <c r="J69" s="10" t="s">
        <v>850</v>
      </c>
      <c r="K69" s="9" t="s">
        <v>194</v>
      </c>
      <c r="L69" s="10" t="s">
        <v>194</v>
      </c>
      <c r="M69" s="26">
        <v>1569</v>
      </c>
      <c r="N69" s="26">
        <v>2420</v>
      </c>
      <c r="O69" s="27">
        <v>0.35170000000000001</v>
      </c>
      <c r="P69" s="12"/>
      <c r="Q69" s="13" t="str">
        <f t="shared" si="10"/>
        <v>Amazon search</v>
      </c>
      <c r="R69" s="28">
        <v>1569</v>
      </c>
      <c r="S69" s="13" t="s">
        <v>962</v>
      </c>
      <c r="T69" s="12"/>
      <c r="U69" s="13" t="str">
        <f t="shared" si="11"/>
        <v>Alibaba search</v>
      </c>
      <c r="V69" s="12"/>
      <c r="W69" s="13" t="str">
        <f t="shared" si="18"/>
        <v>LCSC search</v>
      </c>
      <c r="X69" s="12"/>
      <c r="Y69" s="13" t="str">
        <f t="shared" si="19"/>
        <v>Mouser search</v>
      </c>
      <c r="Z69" s="12"/>
      <c r="AA69" s="13" t="str">
        <f t="shared" si="20"/>
        <v>DigiKey search</v>
      </c>
      <c r="AB69" s="9"/>
      <c r="AC69" s="9">
        <f>Inputs_Assumptions!$B$7</f>
        <v>150</v>
      </c>
      <c r="AD69" s="9">
        <f>Inputs_Assumptions!$B$7</f>
        <v>150</v>
      </c>
      <c r="AE69" s="11">
        <f>Inputs_Assumptions!$B$5</f>
        <v>0.1</v>
      </c>
      <c r="AF69" s="11">
        <f>Inputs_Assumptions!$B$6</f>
        <v>0.18</v>
      </c>
      <c r="AG69" s="14">
        <f>Inputs_Assumptions!$B$4</f>
        <v>83</v>
      </c>
      <c r="AH69" s="12"/>
      <c r="AI69" s="15"/>
      <c r="AJ69" s="16">
        <f t="shared" si="21"/>
        <v>2028.4199999999998</v>
      </c>
      <c r="AK69" s="11">
        <f>Inputs_Assumptions!$B$9</f>
        <v>0.35</v>
      </c>
      <c r="AL69" s="16">
        <f t="shared" si="22"/>
        <v>3120.6461538461535</v>
      </c>
      <c r="AM69" s="11">
        <f>Inputs_Assumptions!$B$8</f>
        <v>0.18</v>
      </c>
      <c r="AN69" s="11" t="str">
        <f t="shared" si="23"/>
        <v/>
      </c>
      <c r="AO69" s="17" t="s">
        <v>168</v>
      </c>
      <c r="AP69" s="17"/>
      <c r="AQ69" s="17"/>
      <c r="AR69" s="17"/>
      <c r="AS69" s="17"/>
      <c r="AT69" s="10"/>
      <c r="AU69" s="29" t="s">
        <v>140</v>
      </c>
      <c r="AV69" s="10"/>
      <c r="AW69" t="s">
        <v>8</v>
      </c>
      <c r="BC69" s="30" t="s">
        <v>140</v>
      </c>
      <c r="BD69" t="s">
        <v>394</v>
      </c>
      <c r="BE69" t="s">
        <v>395</v>
      </c>
      <c r="BF69" t="s">
        <v>396</v>
      </c>
      <c r="BG69" t="s">
        <v>397</v>
      </c>
      <c r="BM69" s="31">
        <v>1569</v>
      </c>
      <c r="BN69" t="s">
        <v>398</v>
      </c>
      <c r="BO69" t="s">
        <v>962</v>
      </c>
      <c r="BP69" t="s">
        <v>394</v>
      </c>
      <c r="BQ69" t="s">
        <v>395</v>
      </c>
      <c r="BR69" t="s">
        <v>396</v>
      </c>
      <c r="BS69" t="s">
        <v>397</v>
      </c>
      <c r="BT69" s="30" t="s">
        <v>140</v>
      </c>
      <c r="BU69" t="s">
        <v>963</v>
      </c>
      <c r="BV69" s="9" t="s">
        <v>400</v>
      </c>
      <c r="BW69" s="9" t="s">
        <v>210</v>
      </c>
      <c r="BX69" s="9" t="s">
        <v>310</v>
      </c>
      <c r="BY69" s="9" t="s">
        <v>964</v>
      </c>
      <c r="BZ69" s="9" t="s">
        <v>312</v>
      </c>
      <c r="CA69" s="9" t="s">
        <v>146</v>
      </c>
      <c r="CB69" s="9" t="s">
        <v>404</v>
      </c>
      <c r="CC69" s="9" t="s">
        <v>405</v>
      </c>
      <c r="CD69" s="9" t="s">
        <v>962</v>
      </c>
      <c r="CE69" s="9" t="s">
        <v>406</v>
      </c>
      <c r="CF69" s="9"/>
      <c r="CG69" s="9"/>
      <c r="CH69" s="9" t="s">
        <v>407</v>
      </c>
      <c r="CI69" s="9" t="s">
        <v>150</v>
      </c>
      <c r="CJ69" s="9">
        <v>7</v>
      </c>
      <c r="CK69" s="9" t="s">
        <v>408</v>
      </c>
      <c r="CL69" s="9" t="s">
        <v>152</v>
      </c>
      <c r="CM69" s="9" t="s">
        <v>409</v>
      </c>
      <c r="CN69" s="9" t="s">
        <v>410</v>
      </c>
      <c r="CO69" s="9" t="s">
        <v>407</v>
      </c>
      <c r="CP69" s="9" t="s">
        <v>394</v>
      </c>
      <c r="CQ69" s="9" t="s">
        <v>965</v>
      </c>
      <c r="CR69" s="9" t="s">
        <v>155</v>
      </c>
      <c r="CS69" s="9" t="s">
        <v>647</v>
      </c>
      <c r="CT69" t="s">
        <v>173</v>
      </c>
      <c r="CU69">
        <v>21.4</v>
      </c>
      <c r="CV69" t="s">
        <v>693</v>
      </c>
    </row>
    <row r="70" spans="1:100" ht="45" customHeight="1" x14ac:dyDescent="0.3">
      <c r="A70" s="9" t="s">
        <v>966</v>
      </c>
      <c r="B70" s="9" t="s">
        <v>845</v>
      </c>
      <c r="C70" s="9" t="s">
        <v>845</v>
      </c>
      <c r="D70" s="10" t="s">
        <v>967</v>
      </c>
      <c r="E70" s="9" t="s">
        <v>515</v>
      </c>
      <c r="F70" s="9" t="s">
        <v>968</v>
      </c>
      <c r="G70" s="10"/>
      <c r="H70" s="10" t="s">
        <v>893</v>
      </c>
      <c r="I70" s="10" t="s">
        <v>893</v>
      </c>
      <c r="J70" s="10" t="s">
        <v>595</v>
      </c>
      <c r="K70" s="9" t="s">
        <v>194</v>
      </c>
      <c r="L70" s="10" t="s">
        <v>194</v>
      </c>
      <c r="M70" s="26">
        <v>54</v>
      </c>
      <c r="N70" s="26">
        <v>90</v>
      </c>
      <c r="O70" s="27">
        <v>0.4</v>
      </c>
      <c r="P70" s="12"/>
      <c r="Q70" s="13" t="str">
        <f t="shared" si="10"/>
        <v>Amazon search</v>
      </c>
      <c r="R70" s="28">
        <v>54</v>
      </c>
      <c r="S70" s="13" t="s">
        <v>969</v>
      </c>
      <c r="T70" s="12"/>
      <c r="U70" s="13" t="str">
        <f t="shared" si="11"/>
        <v>Alibaba search</v>
      </c>
      <c r="V70" s="12"/>
      <c r="W70" s="13" t="str">
        <f t="shared" si="18"/>
        <v>LCSC search</v>
      </c>
      <c r="X70" s="12"/>
      <c r="Y70" s="13" t="str">
        <f t="shared" si="19"/>
        <v>Mouser search</v>
      </c>
      <c r="Z70" s="12"/>
      <c r="AA70" s="13" t="str">
        <f t="shared" si="20"/>
        <v>DigiKey search</v>
      </c>
      <c r="AB70" s="9"/>
      <c r="AC70" s="9">
        <f>Inputs_Assumptions!$B$7</f>
        <v>150</v>
      </c>
      <c r="AD70" s="9">
        <f>Inputs_Assumptions!$B$7</f>
        <v>150</v>
      </c>
      <c r="AE70" s="11">
        <f>Inputs_Assumptions!$B$5</f>
        <v>0.1</v>
      </c>
      <c r="AF70" s="11">
        <f>Inputs_Assumptions!$B$6</f>
        <v>0.18</v>
      </c>
      <c r="AG70" s="14">
        <f>Inputs_Assumptions!$B$4</f>
        <v>83</v>
      </c>
      <c r="AH70" s="12"/>
      <c r="AI70" s="15"/>
      <c r="AJ70" s="16">
        <f t="shared" si="21"/>
        <v>240.72</v>
      </c>
      <c r="AK70" s="11">
        <f>Inputs_Assumptions!$B$9</f>
        <v>0.35</v>
      </c>
      <c r="AL70" s="16">
        <f t="shared" si="22"/>
        <v>370.3384615384615</v>
      </c>
      <c r="AM70" s="11">
        <f>Inputs_Assumptions!$B$8</f>
        <v>0.18</v>
      </c>
      <c r="AN70" s="11" t="str">
        <f t="shared" si="23"/>
        <v/>
      </c>
      <c r="AO70" s="17" t="s">
        <v>139</v>
      </c>
      <c r="AP70" s="17">
        <v>25</v>
      </c>
      <c r="AQ70" s="17">
        <v>25</v>
      </c>
      <c r="AR70" s="17">
        <v>50</v>
      </c>
      <c r="AS70" s="17">
        <v>8</v>
      </c>
      <c r="AT70" s="10"/>
      <c r="AU70" s="29" t="s">
        <v>140</v>
      </c>
      <c r="AV70" s="10"/>
      <c r="AW70" t="s">
        <v>8</v>
      </c>
      <c r="BC70" s="30" t="s">
        <v>140</v>
      </c>
      <c r="BD70" t="s">
        <v>394</v>
      </c>
      <c r="BE70" t="s">
        <v>395</v>
      </c>
      <c r="BF70" t="s">
        <v>396</v>
      </c>
      <c r="BG70" t="s">
        <v>397</v>
      </c>
      <c r="BM70" s="31">
        <v>54</v>
      </c>
      <c r="BN70" t="s">
        <v>398</v>
      </c>
      <c r="BO70" t="s">
        <v>969</v>
      </c>
      <c r="BP70" t="s">
        <v>394</v>
      </c>
      <c r="BQ70" t="s">
        <v>395</v>
      </c>
      <c r="BR70" t="s">
        <v>396</v>
      </c>
      <c r="BS70" t="s">
        <v>397</v>
      </c>
      <c r="BT70" s="30" t="s">
        <v>140</v>
      </c>
      <c r="BU70" t="s">
        <v>970</v>
      </c>
      <c r="BV70" s="9" t="s">
        <v>971</v>
      </c>
      <c r="BW70" s="9" t="s">
        <v>210</v>
      </c>
      <c r="BX70" s="9" t="s">
        <v>310</v>
      </c>
      <c r="BY70" s="9" t="s">
        <v>972</v>
      </c>
      <c r="BZ70" s="9" t="s">
        <v>312</v>
      </c>
      <c r="CA70" s="9" t="s">
        <v>146</v>
      </c>
      <c r="CB70" s="9" t="s">
        <v>404</v>
      </c>
      <c r="CC70" s="9" t="s">
        <v>405</v>
      </c>
      <c r="CD70" s="9" t="s">
        <v>969</v>
      </c>
      <c r="CE70" s="9" t="s">
        <v>406</v>
      </c>
      <c r="CF70" s="9"/>
      <c r="CG70" s="9"/>
      <c r="CH70" s="9" t="s">
        <v>407</v>
      </c>
      <c r="CI70" s="9" t="s">
        <v>150</v>
      </c>
      <c r="CJ70" s="9">
        <v>7</v>
      </c>
      <c r="CK70" s="9" t="s">
        <v>408</v>
      </c>
      <c r="CL70" s="9" t="s">
        <v>152</v>
      </c>
      <c r="CM70" s="9" t="s">
        <v>409</v>
      </c>
      <c r="CN70" s="9" t="s">
        <v>410</v>
      </c>
      <c r="CO70" s="9" t="s">
        <v>407</v>
      </c>
      <c r="CP70" s="9" t="s">
        <v>394</v>
      </c>
      <c r="CQ70" s="9" t="s">
        <v>973</v>
      </c>
      <c r="CR70" s="9" t="s">
        <v>155</v>
      </c>
      <c r="CS70" s="9" t="s">
        <v>974</v>
      </c>
      <c r="CT70" t="s">
        <v>157</v>
      </c>
      <c r="CU70">
        <v>37.5</v>
      </c>
      <c r="CV70" t="s">
        <v>975</v>
      </c>
    </row>
    <row r="71" spans="1:100" ht="45" customHeight="1" x14ac:dyDescent="0.3">
      <c r="A71" s="9" t="s">
        <v>976</v>
      </c>
      <c r="B71" s="9" t="s">
        <v>845</v>
      </c>
      <c r="C71" s="9" t="s">
        <v>845</v>
      </c>
      <c r="D71" s="10" t="s">
        <v>977</v>
      </c>
      <c r="E71" s="9" t="s">
        <v>515</v>
      </c>
      <c r="F71" s="9" t="s">
        <v>978</v>
      </c>
      <c r="G71" s="10" t="s">
        <v>979</v>
      </c>
      <c r="H71" s="10" t="s">
        <v>893</v>
      </c>
      <c r="I71" s="10" t="s">
        <v>893</v>
      </c>
      <c r="J71" s="10" t="s">
        <v>595</v>
      </c>
      <c r="K71" s="9" t="s">
        <v>194</v>
      </c>
      <c r="L71" s="10" t="s">
        <v>194</v>
      </c>
      <c r="M71" s="26">
        <v>115.83</v>
      </c>
      <c r="N71" s="26">
        <v>180</v>
      </c>
      <c r="O71" s="27">
        <v>0.35649999999999998</v>
      </c>
      <c r="P71" s="12"/>
      <c r="Q71" s="13" t="str">
        <f t="shared" si="10"/>
        <v>Amazon search</v>
      </c>
      <c r="R71" s="28">
        <v>115.83</v>
      </c>
      <c r="S71" s="13" t="s">
        <v>980</v>
      </c>
      <c r="T71" s="12"/>
      <c r="U71" s="13" t="str">
        <f t="shared" si="11"/>
        <v>Alibaba search</v>
      </c>
      <c r="V71" s="12"/>
      <c r="W71" s="13" t="str">
        <f t="shared" si="18"/>
        <v>LCSC search</v>
      </c>
      <c r="X71" s="12"/>
      <c r="Y71" s="13" t="str">
        <f t="shared" si="19"/>
        <v>Mouser search</v>
      </c>
      <c r="Z71" s="12"/>
      <c r="AA71" s="13" t="str">
        <f t="shared" si="20"/>
        <v>DigiKey search</v>
      </c>
      <c r="AB71" s="9"/>
      <c r="AC71" s="9">
        <f>Inputs_Assumptions!$B$7</f>
        <v>150</v>
      </c>
      <c r="AD71" s="9">
        <f>Inputs_Assumptions!$B$7</f>
        <v>150</v>
      </c>
      <c r="AE71" s="11">
        <f>Inputs_Assumptions!$B$5</f>
        <v>0.1</v>
      </c>
      <c r="AF71" s="11">
        <f>Inputs_Assumptions!$B$6</f>
        <v>0.18</v>
      </c>
      <c r="AG71" s="14">
        <f>Inputs_Assumptions!$B$4</f>
        <v>83</v>
      </c>
      <c r="AH71" s="12"/>
      <c r="AI71" s="15"/>
      <c r="AJ71" s="16">
        <f t="shared" si="21"/>
        <v>313.67939999999999</v>
      </c>
      <c r="AK71" s="11">
        <f>Inputs_Assumptions!$B$9</f>
        <v>0.35</v>
      </c>
      <c r="AL71" s="16">
        <f t="shared" si="22"/>
        <v>482.58369230769227</v>
      </c>
      <c r="AM71" s="11">
        <f>Inputs_Assumptions!$B$8</f>
        <v>0.18</v>
      </c>
      <c r="AN71" s="11" t="str">
        <f t="shared" si="23"/>
        <v/>
      </c>
      <c r="AO71" s="17" t="s">
        <v>139</v>
      </c>
      <c r="AP71" s="17">
        <v>40</v>
      </c>
      <c r="AQ71" s="17">
        <v>40</v>
      </c>
      <c r="AR71" s="17">
        <v>80</v>
      </c>
      <c r="AS71" s="17">
        <v>12</v>
      </c>
      <c r="AT71" s="10"/>
      <c r="AU71" s="29" t="s">
        <v>140</v>
      </c>
      <c r="AV71" s="10"/>
      <c r="AW71" t="s">
        <v>8</v>
      </c>
      <c r="BC71" s="30" t="s">
        <v>140</v>
      </c>
      <c r="BD71" t="s">
        <v>394</v>
      </c>
      <c r="BE71" t="s">
        <v>395</v>
      </c>
      <c r="BF71" t="s">
        <v>396</v>
      </c>
      <c r="BG71" t="s">
        <v>397</v>
      </c>
      <c r="BM71" s="31">
        <v>115.83</v>
      </c>
      <c r="BN71" t="s">
        <v>398</v>
      </c>
      <c r="BO71" t="s">
        <v>980</v>
      </c>
      <c r="BP71" t="s">
        <v>394</v>
      </c>
      <c r="BQ71" t="s">
        <v>395</v>
      </c>
      <c r="BR71" t="s">
        <v>396</v>
      </c>
      <c r="BS71" t="s">
        <v>397</v>
      </c>
      <c r="BT71" s="30" t="s">
        <v>140</v>
      </c>
      <c r="BU71" t="s">
        <v>981</v>
      </c>
      <c r="BV71" s="9" t="s">
        <v>376</v>
      </c>
      <c r="BW71" s="9" t="s">
        <v>210</v>
      </c>
      <c r="BX71" s="9" t="s">
        <v>310</v>
      </c>
      <c r="BY71" s="9" t="s">
        <v>982</v>
      </c>
      <c r="BZ71" s="9" t="s">
        <v>312</v>
      </c>
      <c r="CA71" s="9" t="s">
        <v>146</v>
      </c>
      <c r="CB71" s="9" t="s">
        <v>404</v>
      </c>
      <c r="CC71" s="9" t="s">
        <v>405</v>
      </c>
      <c r="CD71" s="9" t="s">
        <v>980</v>
      </c>
      <c r="CE71" s="9" t="s">
        <v>406</v>
      </c>
      <c r="CF71" s="9"/>
      <c r="CG71" s="9"/>
      <c r="CH71" s="9" t="s">
        <v>407</v>
      </c>
      <c r="CI71" s="9" t="s">
        <v>150</v>
      </c>
      <c r="CJ71" s="9">
        <v>7</v>
      </c>
      <c r="CK71" s="9" t="s">
        <v>408</v>
      </c>
      <c r="CL71" s="9" t="s">
        <v>152</v>
      </c>
      <c r="CM71" s="9" t="s">
        <v>409</v>
      </c>
      <c r="CN71" s="9" t="s">
        <v>410</v>
      </c>
      <c r="CO71" s="9" t="s">
        <v>407</v>
      </c>
      <c r="CP71" s="9" t="s">
        <v>394</v>
      </c>
      <c r="CQ71" s="9" t="s">
        <v>983</v>
      </c>
      <c r="CR71" s="9" t="s">
        <v>155</v>
      </c>
      <c r="CS71" s="9" t="s">
        <v>378</v>
      </c>
      <c r="CT71" t="s">
        <v>157</v>
      </c>
      <c r="CU71">
        <v>45.4</v>
      </c>
      <c r="CV71" t="s">
        <v>984</v>
      </c>
    </row>
    <row r="72" spans="1:100" ht="45" hidden="1" customHeight="1" x14ac:dyDescent="0.3">
      <c r="A72" s="9" t="s">
        <v>985</v>
      </c>
      <c r="B72" s="9" t="s">
        <v>935</v>
      </c>
      <c r="C72" s="9" t="s">
        <v>935</v>
      </c>
      <c r="D72" s="10" t="s">
        <v>986</v>
      </c>
      <c r="E72" s="9" t="s">
        <v>515</v>
      </c>
      <c r="F72" s="9" t="s">
        <v>987</v>
      </c>
      <c r="G72" s="10"/>
      <c r="H72" s="10" t="s">
        <v>988</v>
      </c>
      <c r="I72" s="10" t="s">
        <v>989</v>
      </c>
      <c r="J72" s="10" t="s">
        <v>806</v>
      </c>
      <c r="K72" s="9" t="s">
        <v>194</v>
      </c>
      <c r="L72" s="10" t="s">
        <v>194</v>
      </c>
      <c r="M72" s="26">
        <v>399</v>
      </c>
      <c r="N72" s="26">
        <v>620</v>
      </c>
      <c r="O72" s="27">
        <v>0.35649999999999998</v>
      </c>
      <c r="P72" s="12"/>
      <c r="Q72" s="13" t="str">
        <f t="shared" si="10"/>
        <v>Amazon search</v>
      </c>
      <c r="R72" s="28">
        <v>399</v>
      </c>
      <c r="S72" s="13" t="s">
        <v>990</v>
      </c>
      <c r="T72" s="12"/>
      <c r="U72" s="13" t="str">
        <f t="shared" si="11"/>
        <v>Alibaba search</v>
      </c>
      <c r="V72" s="12"/>
      <c r="W72" s="13" t="str">
        <f t="shared" si="18"/>
        <v>LCSC search</v>
      </c>
      <c r="X72" s="12"/>
      <c r="Y72" s="13" t="str">
        <f t="shared" si="19"/>
        <v>Mouser search</v>
      </c>
      <c r="Z72" s="12"/>
      <c r="AA72" s="13" t="str">
        <f t="shared" si="20"/>
        <v>DigiKey search</v>
      </c>
      <c r="AB72" s="9"/>
      <c r="AC72" s="9">
        <f>Inputs_Assumptions!$B$7</f>
        <v>150</v>
      </c>
      <c r="AD72" s="9">
        <f>Inputs_Assumptions!$B$7</f>
        <v>150</v>
      </c>
      <c r="AE72" s="11">
        <f>Inputs_Assumptions!$B$5</f>
        <v>0.1</v>
      </c>
      <c r="AF72" s="11">
        <f>Inputs_Assumptions!$B$6</f>
        <v>0.18</v>
      </c>
      <c r="AG72" s="14">
        <f>Inputs_Assumptions!$B$4</f>
        <v>83</v>
      </c>
      <c r="AH72" s="12"/>
      <c r="AI72" s="15"/>
      <c r="AJ72" s="16">
        <f t="shared" si="21"/>
        <v>647.81999999999994</v>
      </c>
      <c r="AK72" s="11">
        <f>Inputs_Assumptions!$B$9</f>
        <v>0.35</v>
      </c>
      <c r="AL72" s="16">
        <f t="shared" si="22"/>
        <v>996.64615384615377</v>
      </c>
      <c r="AM72" s="11">
        <f>Inputs_Assumptions!$B$8</f>
        <v>0.18</v>
      </c>
      <c r="AN72" s="11" t="str">
        <f t="shared" si="23"/>
        <v/>
      </c>
      <c r="AO72" s="17" t="s">
        <v>168</v>
      </c>
      <c r="AP72" s="17">
        <v>8</v>
      </c>
      <c r="AQ72" s="17">
        <v>8</v>
      </c>
      <c r="AR72" s="17">
        <v>16</v>
      </c>
      <c r="AS72" s="17">
        <v>2</v>
      </c>
      <c r="AT72" s="10"/>
      <c r="AU72" s="29" t="s">
        <v>140</v>
      </c>
      <c r="AV72" s="10"/>
      <c r="AW72" t="s">
        <v>8</v>
      </c>
      <c r="BC72" s="30" t="s">
        <v>140</v>
      </c>
      <c r="BD72" t="s">
        <v>394</v>
      </c>
      <c r="BE72" t="s">
        <v>395</v>
      </c>
      <c r="BF72" t="s">
        <v>396</v>
      </c>
      <c r="BG72" t="s">
        <v>397</v>
      </c>
      <c r="BM72" s="31">
        <v>399</v>
      </c>
      <c r="BN72" t="s">
        <v>398</v>
      </c>
      <c r="BO72" t="s">
        <v>990</v>
      </c>
      <c r="BP72" t="s">
        <v>394</v>
      </c>
      <c r="BQ72" t="s">
        <v>395</v>
      </c>
      <c r="BR72" t="s">
        <v>396</v>
      </c>
      <c r="BS72" t="s">
        <v>397</v>
      </c>
      <c r="BT72" s="30" t="s">
        <v>140</v>
      </c>
      <c r="BU72" t="s">
        <v>991</v>
      </c>
      <c r="BV72" s="9" t="s">
        <v>572</v>
      </c>
      <c r="BW72" s="9" t="s">
        <v>210</v>
      </c>
      <c r="BX72" s="9" t="s">
        <v>310</v>
      </c>
      <c r="BY72" s="9" t="s">
        <v>992</v>
      </c>
      <c r="BZ72" s="9" t="s">
        <v>312</v>
      </c>
      <c r="CA72" s="9" t="s">
        <v>146</v>
      </c>
      <c r="CB72" s="9" t="s">
        <v>404</v>
      </c>
      <c r="CC72" s="9" t="s">
        <v>405</v>
      </c>
      <c r="CD72" s="9" t="s">
        <v>990</v>
      </c>
      <c r="CE72" s="9" t="s">
        <v>406</v>
      </c>
      <c r="CF72" s="9"/>
      <c r="CG72" s="9"/>
      <c r="CH72" s="9" t="s">
        <v>407</v>
      </c>
      <c r="CI72" s="9" t="s">
        <v>150</v>
      </c>
      <c r="CJ72" s="9">
        <v>7</v>
      </c>
      <c r="CK72" s="9" t="s">
        <v>408</v>
      </c>
      <c r="CL72" s="9" t="s">
        <v>152</v>
      </c>
      <c r="CM72" s="9" t="s">
        <v>409</v>
      </c>
      <c r="CN72" s="9" t="s">
        <v>410</v>
      </c>
      <c r="CO72" s="9" t="s">
        <v>407</v>
      </c>
      <c r="CP72" s="9" t="s">
        <v>394</v>
      </c>
      <c r="CQ72" s="9" t="s">
        <v>993</v>
      </c>
      <c r="CR72" s="9" t="s">
        <v>155</v>
      </c>
      <c r="CS72" s="9" t="s">
        <v>660</v>
      </c>
      <c r="CT72" t="s">
        <v>173</v>
      </c>
      <c r="CU72">
        <v>25.4</v>
      </c>
      <c r="CV72" t="s">
        <v>576</v>
      </c>
    </row>
  </sheetData>
  <autoFilter ref="A1:CV72" xr:uid="{00000000-0001-0000-0200-000000000000}">
    <filterColumn colId="97">
      <filters>
        <filter val="High"/>
      </filters>
    </filterColumn>
    <filterColumn colId="98">
      <filters>
        <filter val="30.2"/>
        <filter val="31.2"/>
        <filter val="33.4"/>
        <filter val="33.5"/>
        <filter val="35.2"/>
        <filter val="37.5"/>
        <filter val="39.4"/>
        <filter val="45.4"/>
        <filter val="46.4"/>
        <filter val="51.2"/>
        <filter val="55.4"/>
      </filters>
    </filterColumn>
  </autoFilter>
  <conditionalFormatting sqref="O2:O72">
    <cfRule type="cellIs" dxfId="2" priority="1" operator="greaterThanOrEqual">
      <formula>0.35</formula>
    </cfRule>
    <cfRule type="cellIs" dxfId="1" priority="2" operator="lessThan">
      <formula>0.15</formula>
    </cfRule>
  </conditionalFormatting>
  <conditionalFormatting sqref="AN2:AN72">
    <cfRule type="cellIs" dxfId="0" priority="3" operator="lessThan">
      <formula>0.05</formula>
    </cfRule>
  </conditionalFormatting>
  <dataValidations count="4">
    <dataValidation type="list" allowBlank="1" sqref="B2:B72" xr:uid="{00000000-0002-0000-0200-000000000000}">
      <formula1>"FPGA Board,SOM Module,AI Edge Board,PMOD Module,Camera,Sensor,Microcontroller,Connectivity,Memory,Power,Tool,Accessory"</formula1>
    </dataValidation>
    <dataValidation type="list" allowBlank="1" sqref="K2:K72" xr:uid="{00000000-0002-0000-0200-000001000000}">
      <formula1>"Local,Import,Both"</formula1>
    </dataValidation>
    <dataValidation type="list" allowBlank="1" sqref="AO2:AO72" xr:uid="{00000000-0002-0000-0200-000002000000}">
      <formula1>"A,B,C"</formula1>
    </dataValidation>
    <dataValidation type="list" allowBlank="1" sqref="CH2:CH72 CI2:CI72" xr:uid="{00000000-0002-0000-0200-000003000000}">
      <formula1>"Y,N"</formula1>
    </dataValidation>
  </dataValidations>
  <hyperlinks>
    <hyperlink ref="Q2" r:id="rId1" xr:uid="{00000000-0004-0000-0200-000000000000}"/>
    <hyperlink ref="Q14" r:id="rId2" xr:uid="{00000000-0004-0000-0200-000001000000}"/>
    <hyperlink ref="S68" r:id="rId3" xr:uid="{00000000-0004-0000-0200-000002000000}"/>
    <hyperlink ref="Q5" r:id="rId4" xr:uid="{819A7357-58F2-4145-BABD-ABE0ADD2CAD7}"/>
    <hyperlink ref="Q6" r:id="rId5" xr:uid="{9391C383-AEA6-4882-A91C-E4191CFD08FB}"/>
    <hyperlink ref="Q10" r:id="rId6" xr:uid="{56F1C629-079F-4629-8F14-404A87E9E211}"/>
  </hyperlink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38" customWidth="1"/>
    <col min="3" max="3" width="14" customWidth="1"/>
    <col min="4" max="4" width="18" customWidth="1"/>
    <col min="5" max="5" width="8" customWidth="1"/>
    <col min="6" max="6" width="18" customWidth="1"/>
    <col min="7" max="7" width="22" customWidth="1"/>
    <col min="8" max="8" width="24" customWidth="1"/>
  </cols>
  <sheetData>
    <row r="1" spans="1:8" x14ac:dyDescent="0.3">
      <c r="A1" s="18" t="s">
        <v>994</v>
      </c>
      <c r="B1" s="19">
        <v>500000</v>
      </c>
    </row>
    <row r="2" spans="1:8" ht="28.8" customHeight="1" x14ac:dyDescent="0.3">
      <c r="A2" s="18" t="s">
        <v>995</v>
      </c>
      <c r="B2" s="20">
        <f>SUM(F5:F75)</f>
        <v>229908.2</v>
      </c>
    </row>
    <row r="3" spans="1:8" ht="28.8" customHeight="1" x14ac:dyDescent="0.3">
      <c r="A3" s="18" t="s">
        <v>996</v>
      </c>
      <c r="B3" s="20">
        <f>B1-B2</f>
        <v>270091.8</v>
      </c>
    </row>
    <row r="4" spans="1:8" ht="28.8" customHeight="1" x14ac:dyDescent="0.3">
      <c r="A4" s="6" t="s">
        <v>27</v>
      </c>
      <c r="B4" s="6" t="s">
        <v>30</v>
      </c>
      <c r="C4" s="6" t="s">
        <v>28</v>
      </c>
      <c r="D4" s="6" t="s">
        <v>39</v>
      </c>
      <c r="E4" s="6" t="s">
        <v>997</v>
      </c>
      <c r="F4" s="6" t="s">
        <v>998</v>
      </c>
      <c r="G4" s="6" t="s">
        <v>64</v>
      </c>
      <c r="H4" s="6" t="s">
        <v>999</v>
      </c>
    </row>
    <row r="5" spans="1:8" x14ac:dyDescent="0.3">
      <c r="A5" s="21" t="str">
        <f>Products_Master!A2</f>
        <v>FPGA-A7-35T</v>
      </c>
      <c r="B5" s="21" t="str">
        <f>Products_Master!D2</f>
        <v>Artix-7 FPGA Dev Board</v>
      </c>
      <c r="C5" s="21" t="str">
        <f>Products_Master!B2</f>
        <v>FPGA Board</v>
      </c>
      <c r="D5" s="22">
        <f>Products_Master!M2</f>
        <v>6500</v>
      </c>
      <c r="E5" s="21">
        <f>Products_Master!AP2</f>
        <v>4</v>
      </c>
      <c r="F5" s="22">
        <f t="shared" ref="F5:F36" si="0">D5*E5</f>
        <v>26000</v>
      </c>
      <c r="G5" s="22">
        <f>Products_Master!AL2</f>
        <v>12072.307692307691</v>
      </c>
      <c r="H5" s="22">
        <f t="shared" ref="H5:H36" si="1">(G5-D5)*E5</f>
        <v>22289.230769230766</v>
      </c>
    </row>
    <row r="6" spans="1:8" x14ac:dyDescent="0.3">
      <c r="A6" s="21" t="str">
        <f>Products_Master!A3</f>
        <v>FPGA-A7-100T</v>
      </c>
      <c r="B6" s="21" t="str">
        <f>Products_Master!D3</f>
        <v>Artix-7 FPGA Dev Board</v>
      </c>
      <c r="C6" s="21" t="str">
        <f>Products_Master!B3</f>
        <v>FPGA Board</v>
      </c>
      <c r="D6" s="22">
        <f>Products_Master!M3</f>
        <v>10500</v>
      </c>
      <c r="E6" s="21">
        <f>Products_Master!AP3</f>
        <v>0</v>
      </c>
      <c r="F6" s="22">
        <f t="shared" si="0"/>
        <v>0</v>
      </c>
      <c r="G6" s="22">
        <f>Products_Master!AL3</f>
        <v>19333.846153846152</v>
      </c>
      <c r="H6" s="22">
        <f t="shared" si="1"/>
        <v>0</v>
      </c>
    </row>
    <row r="7" spans="1:8" x14ac:dyDescent="0.3">
      <c r="A7" s="21" t="str">
        <f>Products_Master!A4</f>
        <v>FPGA-ZYNQ-7020</v>
      </c>
      <c r="B7" s="21" t="str">
        <f>Products_Master!D4</f>
        <v>Zynq-7000 Dev Board</v>
      </c>
      <c r="C7" s="21" t="str">
        <f>Products_Master!B4</f>
        <v>FPGA Board</v>
      </c>
      <c r="D7" s="22">
        <f>Products_Master!M4</f>
        <v>12500</v>
      </c>
      <c r="E7" s="21">
        <f>Products_Master!AP4</f>
        <v>2</v>
      </c>
      <c r="F7" s="22">
        <f t="shared" si="0"/>
        <v>25000</v>
      </c>
      <c r="G7" s="22">
        <f>Products_Master!AL4</f>
        <v>22964.615384615383</v>
      </c>
      <c r="H7" s="22">
        <f t="shared" si="1"/>
        <v>20929.230769230766</v>
      </c>
    </row>
    <row r="8" spans="1:8" x14ac:dyDescent="0.3">
      <c r="A8" s="21" t="str">
        <f>Products_Master!A5</f>
        <v>FPGA-SPARTAN6</v>
      </c>
      <c r="B8" s="21" t="str">
        <f>Products_Master!D5</f>
        <v>Spartan-6 Dev Board</v>
      </c>
      <c r="C8" s="21" t="str">
        <f>Products_Master!B5</f>
        <v>FPGA Board</v>
      </c>
      <c r="D8" s="22">
        <f>Products_Master!M5</f>
        <v>4200</v>
      </c>
      <c r="E8" s="21">
        <f>Products_Master!AP5</f>
        <v>0</v>
      </c>
      <c r="F8" s="22">
        <f t="shared" si="0"/>
        <v>0</v>
      </c>
      <c r="G8" s="22">
        <f>Products_Master!AL5</f>
        <v>7896.9230769230762</v>
      </c>
      <c r="H8" s="22">
        <f t="shared" si="1"/>
        <v>0</v>
      </c>
    </row>
    <row r="9" spans="1:8" x14ac:dyDescent="0.3">
      <c r="A9" s="21" t="str">
        <f>Products_Master!A6</f>
        <v>FPGA-ICE40UP5K</v>
      </c>
      <c r="B9" s="21" t="str">
        <f>Products_Master!D6</f>
        <v>iCE40 UltraPlus Dev Board</v>
      </c>
      <c r="C9" s="21" t="str">
        <f>Products_Master!B6</f>
        <v>FPGA Board</v>
      </c>
      <c r="D9" s="22">
        <f>Products_Master!M6</f>
        <v>2200</v>
      </c>
      <c r="E9" s="21">
        <f>Products_Master!AP6</f>
        <v>6</v>
      </c>
      <c r="F9" s="22">
        <f t="shared" si="0"/>
        <v>13200</v>
      </c>
      <c r="G9" s="22">
        <f>Products_Master!AL6</f>
        <v>4266.1538461538457</v>
      </c>
      <c r="H9" s="22">
        <f t="shared" si="1"/>
        <v>12396.923076923074</v>
      </c>
    </row>
    <row r="10" spans="1:8" x14ac:dyDescent="0.3">
      <c r="A10" s="21" t="str">
        <f>Products_Master!A7</f>
        <v>FPGA-ECP5-25F</v>
      </c>
      <c r="B10" s="21" t="str">
        <f>Products_Master!D7</f>
        <v>ECP5 Dev Board</v>
      </c>
      <c r="C10" s="21" t="str">
        <f>Products_Master!B7</f>
        <v>FPGA Board</v>
      </c>
      <c r="D10" s="22">
        <f>Products_Master!M7</f>
        <v>5800</v>
      </c>
      <c r="E10" s="21">
        <f>Products_Master!AP7</f>
        <v>3</v>
      </c>
      <c r="F10" s="22">
        <f t="shared" si="0"/>
        <v>17400</v>
      </c>
      <c r="G10" s="22">
        <f>Products_Master!AL7</f>
        <v>10801.538461538461</v>
      </c>
      <c r="H10" s="22">
        <f t="shared" si="1"/>
        <v>15004.615384615383</v>
      </c>
    </row>
    <row r="11" spans="1:8" x14ac:dyDescent="0.3">
      <c r="A11" s="21" t="str">
        <f>Products_Master!A8</f>
        <v>FPGA-ECP5-45F</v>
      </c>
      <c r="B11" s="21" t="str">
        <f>Products_Master!D8</f>
        <v>ECP5 Dev Board</v>
      </c>
      <c r="C11" s="21" t="str">
        <f>Products_Master!B8</f>
        <v>FPGA Board</v>
      </c>
      <c r="D11" s="22">
        <f>Products_Master!M8</f>
        <v>7500</v>
      </c>
      <c r="E11" s="21">
        <f>Products_Master!AP8</f>
        <v>0</v>
      </c>
      <c r="F11" s="22">
        <f t="shared" si="0"/>
        <v>0</v>
      </c>
      <c r="G11" s="22">
        <f>Products_Master!AL8</f>
        <v>13887.692307692307</v>
      </c>
      <c r="H11" s="22">
        <f t="shared" si="1"/>
        <v>0</v>
      </c>
    </row>
    <row r="12" spans="1:8" x14ac:dyDescent="0.3">
      <c r="A12" s="21" t="str">
        <f>Products_Master!A9</f>
        <v>FPGA-ECP5-85F</v>
      </c>
      <c r="B12" s="21" t="str">
        <f>Products_Master!D9</f>
        <v>ECP5 Dev Board</v>
      </c>
      <c r="C12" s="21" t="str">
        <f>Products_Master!B9</f>
        <v>FPGA Board</v>
      </c>
      <c r="D12" s="22">
        <f>Products_Master!M9</f>
        <v>9800</v>
      </c>
      <c r="E12" s="21">
        <f>Products_Master!AP9</f>
        <v>0</v>
      </c>
      <c r="F12" s="22">
        <f t="shared" si="0"/>
        <v>0</v>
      </c>
      <c r="G12" s="22">
        <f>Products_Master!AL9</f>
        <v>18063.076923076922</v>
      </c>
      <c r="H12" s="22">
        <f t="shared" si="1"/>
        <v>0</v>
      </c>
    </row>
    <row r="13" spans="1:8" x14ac:dyDescent="0.3">
      <c r="A13" s="21" t="str">
        <f>Products_Master!A10</f>
        <v>FPGA-MAX10</v>
      </c>
      <c r="B13" s="21" t="str">
        <f>Products_Master!D10</f>
        <v>MAX10 Dev Board</v>
      </c>
      <c r="C13" s="21" t="str">
        <f>Products_Master!B10</f>
        <v>FPGA Board</v>
      </c>
      <c r="D13" s="22">
        <f>Products_Master!M10</f>
        <v>6500</v>
      </c>
      <c r="E13" s="21">
        <f>Products_Master!AP10</f>
        <v>0</v>
      </c>
      <c r="F13" s="22">
        <f t="shared" si="0"/>
        <v>0</v>
      </c>
      <c r="G13" s="22">
        <f>Products_Master!AL10</f>
        <v>12072.307692307691</v>
      </c>
      <c r="H13" s="22">
        <f t="shared" si="1"/>
        <v>0</v>
      </c>
    </row>
    <row r="14" spans="1:8" x14ac:dyDescent="0.3">
      <c r="A14" s="21" t="str">
        <f>Products_Master!A11</f>
        <v>FPGA-CYC5GX</v>
      </c>
      <c r="B14" s="21" t="str">
        <f>Products_Master!D11</f>
        <v>Cyclone V GX Dev Board</v>
      </c>
      <c r="C14" s="21" t="str">
        <f>Products_Master!B11</f>
        <v>FPGA Board</v>
      </c>
      <c r="D14" s="22">
        <f>Products_Master!M11</f>
        <v>16500</v>
      </c>
      <c r="E14" s="21">
        <f>Products_Master!AP11</f>
        <v>0</v>
      </c>
      <c r="F14" s="22">
        <f t="shared" si="0"/>
        <v>0</v>
      </c>
      <c r="G14" s="22">
        <f>Products_Master!AL11</f>
        <v>30226.153846153844</v>
      </c>
      <c r="H14" s="22">
        <f t="shared" si="1"/>
        <v>0</v>
      </c>
    </row>
    <row r="15" spans="1:8" x14ac:dyDescent="0.3">
      <c r="A15" s="21" t="str">
        <f>Products_Master!A12</f>
        <v>FPGA-CYC10LP</v>
      </c>
      <c r="B15" s="21" t="str">
        <f>Products_Master!D12</f>
        <v>Cyclone 10 LP Dev Board</v>
      </c>
      <c r="C15" s="21" t="str">
        <f>Products_Master!B12</f>
        <v>FPGA Board</v>
      </c>
      <c r="D15" s="22">
        <f>Products_Master!M12</f>
        <v>7200</v>
      </c>
      <c r="E15" s="21">
        <f>Products_Master!AP12</f>
        <v>0</v>
      </c>
      <c r="F15" s="22">
        <f t="shared" si="0"/>
        <v>0</v>
      </c>
      <c r="G15" s="22">
        <f>Products_Master!AL12</f>
        <v>13343.076923076922</v>
      </c>
      <c r="H15" s="22">
        <f t="shared" si="1"/>
        <v>0</v>
      </c>
    </row>
    <row r="16" spans="1:8" x14ac:dyDescent="0.3">
      <c r="A16" s="21" t="str">
        <f>Products_Master!A13</f>
        <v>FPGA-ZU-DEV</v>
      </c>
      <c r="B16" s="21" t="str">
        <f>Products_Master!D13</f>
        <v>Zynq UltraScale+ Dev Kit</v>
      </c>
      <c r="C16" s="21" t="str">
        <f>Products_Master!B13</f>
        <v>FPGA Board</v>
      </c>
      <c r="D16" s="22">
        <f>Products_Master!M13</f>
        <v>65000</v>
      </c>
      <c r="E16" s="21">
        <f>Products_Master!AP13</f>
        <v>0</v>
      </c>
      <c r="F16" s="22">
        <f t="shared" si="0"/>
        <v>0</v>
      </c>
      <c r="G16" s="22">
        <f>Products_Master!AL13</f>
        <v>118272.30769230769</v>
      </c>
      <c r="H16" s="22">
        <f t="shared" si="1"/>
        <v>0</v>
      </c>
    </row>
    <row r="17" spans="1:8" x14ac:dyDescent="0.3">
      <c r="A17" s="21" t="str">
        <f>Products_Master!A14</f>
        <v>SOM-ULTRA96V2</v>
      </c>
      <c r="B17" s="21" t="str">
        <f>Products_Master!D14</f>
        <v>Ultra96-V2 SOM</v>
      </c>
      <c r="C17" s="21" t="str">
        <f>Products_Master!B14</f>
        <v>SOM Module</v>
      </c>
      <c r="D17" s="22">
        <f>Products_Master!M14</f>
        <v>22000</v>
      </c>
      <c r="E17" s="21">
        <f>Products_Master!AP14</f>
        <v>0</v>
      </c>
      <c r="F17" s="22">
        <f t="shared" si="0"/>
        <v>0</v>
      </c>
      <c r="G17" s="22">
        <f>Products_Master!AL14</f>
        <v>40210.769230769227</v>
      </c>
      <c r="H17" s="22">
        <f t="shared" si="1"/>
        <v>0</v>
      </c>
    </row>
    <row r="18" spans="1:8" x14ac:dyDescent="0.3">
      <c r="A18" s="21" t="str">
        <f>Products_Master!A15</f>
        <v>SOM-KRIA-KV260</v>
      </c>
      <c r="B18" s="21" t="str">
        <f>Products_Master!D15</f>
        <v>Kria KV260 Vision AI Starter Kit</v>
      </c>
      <c r="C18" s="21" t="str">
        <f>Products_Master!B15</f>
        <v>SOM Module</v>
      </c>
      <c r="D18" s="22">
        <f>Products_Master!M15</f>
        <v>28000</v>
      </c>
      <c r="E18" s="21">
        <f>Products_Master!AP15</f>
        <v>0</v>
      </c>
      <c r="F18" s="22">
        <f t="shared" si="0"/>
        <v>0</v>
      </c>
      <c r="G18" s="22">
        <f>Products_Master!AL15</f>
        <v>51103.076923076922</v>
      </c>
      <c r="H18" s="22">
        <f t="shared" si="1"/>
        <v>0</v>
      </c>
    </row>
    <row r="19" spans="1:8" x14ac:dyDescent="0.3">
      <c r="A19" s="21" t="str">
        <f>Products_Master!A16</f>
        <v>SOM-ZYBO-Z7</v>
      </c>
      <c r="B19" s="21" t="str">
        <f>Products_Master!D16</f>
        <v>Zybo Z7-20</v>
      </c>
      <c r="C19" s="21" t="str">
        <f>Products_Master!B16</f>
        <v>SOM Module</v>
      </c>
      <c r="D19" s="22">
        <f>Products_Master!M16</f>
        <v>19000</v>
      </c>
      <c r="E19" s="21">
        <f>Products_Master!AP16</f>
        <v>0</v>
      </c>
      <c r="F19" s="22">
        <f t="shared" si="0"/>
        <v>0</v>
      </c>
      <c r="G19" s="22">
        <f>Products_Master!AL16</f>
        <v>34764.615384615383</v>
      </c>
      <c r="H19" s="22">
        <f t="shared" si="1"/>
        <v>0</v>
      </c>
    </row>
    <row r="20" spans="1:8" x14ac:dyDescent="0.3">
      <c r="A20" s="21" t="str">
        <f>Products_Master!A17</f>
        <v>SOM-ARTY-A7</v>
      </c>
      <c r="B20" s="21" t="str">
        <f>Products_Master!D17</f>
        <v>Arty A7-35T</v>
      </c>
      <c r="C20" s="21" t="str">
        <f>Products_Master!B17</f>
        <v>SOM Module</v>
      </c>
      <c r="D20" s="22">
        <f>Products_Master!M17</f>
        <v>17500</v>
      </c>
      <c r="E20" s="21">
        <f>Products_Master!AP17</f>
        <v>0</v>
      </c>
      <c r="F20" s="22">
        <f t="shared" si="0"/>
        <v>0</v>
      </c>
      <c r="G20" s="22">
        <f>Products_Master!AL17</f>
        <v>32041.538461538461</v>
      </c>
      <c r="H20" s="22">
        <f t="shared" si="1"/>
        <v>0</v>
      </c>
    </row>
    <row r="21" spans="1:8" x14ac:dyDescent="0.3">
      <c r="A21" s="21" t="str">
        <f>Products_Master!A18</f>
        <v>SOM-ZTURN</v>
      </c>
      <c r="B21" s="21" t="str">
        <f>Products_Master!D18</f>
        <v>Z-turn Board</v>
      </c>
      <c r="C21" s="21" t="str">
        <f>Products_Master!B18</f>
        <v>SOM Module</v>
      </c>
      <c r="D21" s="22">
        <f>Products_Master!M18</f>
        <v>14500</v>
      </c>
      <c r="E21" s="21">
        <f>Products_Master!AP18</f>
        <v>0</v>
      </c>
      <c r="F21" s="22">
        <f t="shared" si="0"/>
        <v>0</v>
      </c>
      <c r="G21" s="22">
        <f>Products_Master!AL18</f>
        <v>26595.384615384613</v>
      </c>
      <c r="H21" s="22">
        <f t="shared" si="1"/>
        <v>0</v>
      </c>
    </row>
    <row r="22" spans="1:8" x14ac:dyDescent="0.3">
      <c r="A22" s="21" t="str">
        <f>Products_Master!A19</f>
        <v>SOM-TRENZ-TE</v>
      </c>
      <c r="B22" s="21" t="str">
        <f>Products_Master!D19</f>
        <v>Trenz TE Series (Zynq SOM)</v>
      </c>
      <c r="C22" s="21" t="str">
        <f>Products_Master!B19</f>
        <v>SOM Module</v>
      </c>
      <c r="D22" s="22">
        <f>Products_Master!M19</f>
        <v>16000</v>
      </c>
      <c r="E22" s="21">
        <f>Products_Master!AP19</f>
        <v>0</v>
      </c>
      <c r="F22" s="22">
        <f t="shared" si="0"/>
        <v>0</v>
      </c>
      <c r="G22" s="22">
        <f>Products_Master!AL19</f>
        <v>29318.461538461539</v>
      </c>
      <c r="H22" s="22">
        <f t="shared" si="1"/>
        <v>0</v>
      </c>
    </row>
    <row r="23" spans="1:8" ht="43.2" x14ac:dyDescent="0.3">
      <c r="A23" s="21" t="str">
        <f>Products_Master!A20</f>
        <v>SOM-COLORLIGHT-ECP5</v>
      </c>
      <c r="B23" s="21" t="str">
        <f>Products_Master!D20</f>
        <v>Colorlight i5 ECP5 Board</v>
      </c>
      <c r="C23" s="21" t="str">
        <f>Products_Master!B20</f>
        <v>SOM Module</v>
      </c>
      <c r="D23" s="22">
        <f>Products_Master!M20</f>
        <v>6500</v>
      </c>
      <c r="E23" s="21">
        <f>Products_Master!AP20</f>
        <v>0</v>
      </c>
      <c r="F23" s="22">
        <f t="shared" si="0"/>
        <v>0</v>
      </c>
      <c r="G23" s="22">
        <f>Products_Master!AL20</f>
        <v>12072.307692307691</v>
      </c>
      <c r="H23" s="22">
        <f t="shared" si="1"/>
        <v>0</v>
      </c>
    </row>
    <row r="24" spans="1:8" x14ac:dyDescent="0.3">
      <c r="A24" s="21" t="str">
        <f>Products_Master!A21</f>
        <v>AI-JETSON-NANO</v>
      </c>
      <c r="B24" s="21" t="str">
        <f>Products_Master!D21</f>
        <v>NVIDIA Jetson Nano Dev Kit</v>
      </c>
      <c r="C24" s="21" t="str">
        <f>Products_Master!B21</f>
        <v>AI Edge Board</v>
      </c>
      <c r="D24" s="22">
        <f>Products_Master!M21</f>
        <v>21999</v>
      </c>
      <c r="E24" s="21">
        <f>Products_Master!AP21</f>
        <v>2</v>
      </c>
      <c r="F24" s="22">
        <f t="shared" si="0"/>
        <v>43998</v>
      </c>
      <c r="G24" s="22">
        <f>Products_Master!AL21</f>
        <v>40208.953846153847</v>
      </c>
      <c r="H24" s="22">
        <f t="shared" si="1"/>
        <v>36419.907692307694</v>
      </c>
    </row>
    <row r="25" spans="1:8" ht="28.8" x14ac:dyDescent="0.3">
      <c r="A25" s="21" t="str">
        <f>Products_Master!A22</f>
        <v>AI-JETSON-ORIN-NX</v>
      </c>
      <c r="B25" s="21" t="str">
        <f>Products_Master!D22</f>
        <v>NVIDIA Jetson Orin NX Kit</v>
      </c>
      <c r="C25" s="21" t="str">
        <f>Products_Master!B22</f>
        <v>AI Edge Board</v>
      </c>
      <c r="D25" s="22">
        <f>Products_Master!M22</f>
        <v>49999</v>
      </c>
      <c r="E25" s="21">
        <f>Products_Master!AP22</f>
        <v>0</v>
      </c>
      <c r="F25" s="22">
        <f t="shared" si="0"/>
        <v>0</v>
      </c>
      <c r="G25" s="22">
        <f>Products_Master!AL22</f>
        <v>91039.723076923066</v>
      </c>
      <c r="H25" s="22">
        <f t="shared" si="1"/>
        <v>0</v>
      </c>
    </row>
    <row r="26" spans="1:8" ht="28.8" x14ac:dyDescent="0.3">
      <c r="A26" s="21" t="str">
        <f>Products_Master!A23</f>
        <v>AI-JETSON-ORIN-AGX</v>
      </c>
      <c r="B26" s="21" t="str">
        <f>Products_Master!D23</f>
        <v>NVIDIA Jetson Orin AGX Dev Kit</v>
      </c>
      <c r="C26" s="21" t="str">
        <f>Products_Master!B23</f>
        <v>AI Edge Board</v>
      </c>
      <c r="D26" s="22">
        <f>Products_Master!M23</f>
        <v>219999</v>
      </c>
      <c r="E26" s="21">
        <f>Products_Master!AP23</f>
        <v>0</v>
      </c>
      <c r="F26" s="22">
        <f t="shared" si="0"/>
        <v>0</v>
      </c>
      <c r="G26" s="22">
        <f>Products_Master!AL23</f>
        <v>399655.10769230762</v>
      </c>
      <c r="H26" s="22">
        <f t="shared" si="1"/>
        <v>0</v>
      </c>
    </row>
    <row r="27" spans="1:8" x14ac:dyDescent="0.3">
      <c r="A27" s="21" t="str">
        <f>Products_Master!A24</f>
        <v>AI-CORAL-DEV</v>
      </c>
      <c r="B27" s="21" t="str">
        <f>Products_Master!D24</f>
        <v>Google Coral Dev Board</v>
      </c>
      <c r="C27" s="21" t="str">
        <f>Products_Master!B24</f>
        <v>AI Edge Board</v>
      </c>
      <c r="D27" s="22">
        <f>Products_Master!M24</f>
        <v>14535</v>
      </c>
      <c r="E27" s="21">
        <f>Products_Master!AP24</f>
        <v>1</v>
      </c>
      <c r="F27" s="22">
        <f t="shared" si="0"/>
        <v>14535</v>
      </c>
      <c r="G27" s="22">
        <f>Products_Master!AL24</f>
        <v>26658.923076923074</v>
      </c>
      <c r="H27" s="22">
        <f t="shared" si="1"/>
        <v>12123.923076923074</v>
      </c>
    </row>
    <row r="28" spans="1:8" x14ac:dyDescent="0.3">
      <c r="A28" s="21" t="str">
        <f>Products_Master!A25</f>
        <v>AI-RK3588</v>
      </c>
      <c r="B28" s="21" t="str">
        <f>Products_Master!D25</f>
        <v>Rockchip RK3588 Dev Board</v>
      </c>
      <c r="C28" s="21" t="str">
        <f>Products_Master!B25</f>
        <v>AI Edge Board</v>
      </c>
      <c r="D28" s="22">
        <f>Products_Master!M25</f>
        <v>9200</v>
      </c>
      <c r="E28" s="21">
        <f>Products_Master!AP25</f>
        <v>0</v>
      </c>
      <c r="F28" s="22">
        <f t="shared" si="0"/>
        <v>0</v>
      </c>
      <c r="G28" s="22">
        <f>Products_Master!AL25</f>
        <v>16973.846153846152</v>
      </c>
      <c r="H28" s="22">
        <f t="shared" si="1"/>
        <v>0</v>
      </c>
    </row>
    <row r="29" spans="1:8" x14ac:dyDescent="0.3">
      <c r="A29" s="21" t="str">
        <f>Products_Master!A26</f>
        <v>AI-K210</v>
      </c>
      <c r="B29" s="21" t="str">
        <f>Products_Master!D26</f>
        <v>Kendryte K210 RISC-V AI Board</v>
      </c>
      <c r="C29" s="21" t="str">
        <f>Products_Master!B26</f>
        <v>AI Edge Board</v>
      </c>
      <c r="D29" s="22">
        <f>Products_Master!M26</f>
        <v>1500</v>
      </c>
      <c r="E29" s="21">
        <f>Products_Master!AP26</f>
        <v>5</v>
      </c>
      <c r="F29" s="22">
        <f t="shared" si="0"/>
        <v>7500</v>
      </c>
      <c r="G29" s="22">
        <f>Products_Master!AL26</f>
        <v>2995.3846153846152</v>
      </c>
      <c r="H29" s="22">
        <f t="shared" si="1"/>
        <v>7476.9230769230762</v>
      </c>
    </row>
    <row r="30" spans="1:8" x14ac:dyDescent="0.3">
      <c r="A30" s="21" t="str">
        <f>Products_Master!A27</f>
        <v>PMOD-GPIO</v>
      </c>
      <c r="B30" s="21" t="str">
        <f>Products_Master!D27</f>
        <v>PMOD GPIO</v>
      </c>
      <c r="C30" s="21" t="str">
        <f>Products_Master!B27</f>
        <v>PMOD Module</v>
      </c>
      <c r="D30" s="22">
        <f>Products_Master!M27</f>
        <v>180</v>
      </c>
      <c r="E30" s="21">
        <f>Products_Master!AP27</f>
        <v>15</v>
      </c>
      <c r="F30" s="22">
        <f t="shared" si="0"/>
        <v>2700</v>
      </c>
      <c r="G30" s="22">
        <f>Products_Master!AL27</f>
        <v>599.07692307692298</v>
      </c>
      <c r="H30" s="22">
        <f t="shared" si="1"/>
        <v>6286.1538461538448</v>
      </c>
    </row>
    <row r="31" spans="1:8" x14ac:dyDescent="0.3">
      <c r="A31" s="21" t="str">
        <f>Products_Master!A28</f>
        <v>PMOD-OLED</v>
      </c>
      <c r="B31" s="21" t="str">
        <f>Products_Master!D28</f>
        <v>PMOD OLED Display</v>
      </c>
      <c r="C31" s="21" t="str">
        <f>Products_Master!B28</f>
        <v>PMOD Module</v>
      </c>
      <c r="D31" s="22">
        <f>Products_Master!M28</f>
        <v>700</v>
      </c>
      <c r="E31" s="21">
        <f>Products_Master!AP28</f>
        <v>6</v>
      </c>
      <c r="F31" s="22">
        <f t="shared" si="0"/>
        <v>4200</v>
      </c>
      <c r="G31" s="22">
        <f>Products_Master!AL28</f>
        <v>1543.0769230769231</v>
      </c>
      <c r="H31" s="22">
        <f t="shared" si="1"/>
        <v>5058.461538461539</v>
      </c>
    </row>
    <row r="32" spans="1:8" ht="28.8" x14ac:dyDescent="0.3">
      <c r="A32" s="21" t="str">
        <f>Products_Master!A29</f>
        <v>PMOD-CAM-OV5640</v>
      </c>
      <c r="B32" s="21" t="str">
        <f>Products_Master!D29</f>
        <v>PMOD Camera OV5640</v>
      </c>
      <c r="C32" s="21" t="str">
        <f>Products_Master!B29</f>
        <v>PMOD Module</v>
      </c>
      <c r="D32" s="22">
        <f>Products_Master!M29</f>
        <v>850</v>
      </c>
      <c r="E32" s="21">
        <f>Products_Master!AP29</f>
        <v>6</v>
      </c>
      <c r="F32" s="22">
        <f t="shared" si="0"/>
        <v>5100</v>
      </c>
      <c r="G32" s="22">
        <f>Products_Master!AL29</f>
        <v>1815.3846153846152</v>
      </c>
      <c r="H32" s="22">
        <f t="shared" si="1"/>
        <v>5792.3076923076915</v>
      </c>
    </row>
    <row r="33" spans="1:8" x14ac:dyDescent="0.3">
      <c r="A33" s="21" t="str">
        <f>Products_Master!A30</f>
        <v>PMOD-ADC</v>
      </c>
      <c r="B33" s="21" t="str">
        <f>Products_Master!D30</f>
        <v>PMOD ADC</v>
      </c>
      <c r="C33" s="21" t="str">
        <f>Products_Master!B30</f>
        <v>PMOD Module</v>
      </c>
      <c r="D33" s="22">
        <f>Products_Master!M30</f>
        <v>350</v>
      </c>
      <c r="E33" s="21">
        <f>Products_Master!AP30</f>
        <v>10</v>
      </c>
      <c r="F33" s="22">
        <f t="shared" si="0"/>
        <v>3500</v>
      </c>
      <c r="G33" s="22">
        <f>Products_Master!AL30</f>
        <v>907.69230769230762</v>
      </c>
      <c r="H33" s="22">
        <f t="shared" si="1"/>
        <v>5576.9230769230762</v>
      </c>
    </row>
    <row r="34" spans="1:8" x14ac:dyDescent="0.3">
      <c r="A34" s="21" t="str">
        <f>Products_Master!A31</f>
        <v>PMOD-WIFI</v>
      </c>
      <c r="B34" s="21" t="str">
        <f>Products_Master!D31</f>
        <v>PMOD WiFi/Bluetooth</v>
      </c>
      <c r="C34" s="21" t="str">
        <f>Products_Master!B31</f>
        <v>PMOD Module</v>
      </c>
      <c r="D34" s="22">
        <f>Products_Master!M31</f>
        <v>550</v>
      </c>
      <c r="E34" s="21">
        <f>Products_Master!AP31</f>
        <v>8</v>
      </c>
      <c r="F34" s="22">
        <f t="shared" si="0"/>
        <v>4400</v>
      </c>
      <c r="G34" s="22">
        <f>Products_Master!AL31</f>
        <v>1270.7692307692307</v>
      </c>
      <c r="H34" s="22">
        <f t="shared" si="1"/>
        <v>5766.1538461538457</v>
      </c>
    </row>
    <row r="35" spans="1:8" x14ac:dyDescent="0.3">
      <c r="A35" s="21" t="str">
        <f>Products_Master!A32</f>
        <v>PMOD-ETH</v>
      </c>
      <c r="B35" s="21" t="str">
        <f>Products_Master!D32</f>
        <v>PMOD Ethernet</v>
      </c>
      <c r="C35" s="21" t="str">
        <f>Products_Master!B32</f>
        <v>PMOD Module</v>
      </c>
      <c r="D35" s="22">
        <f>Products_Master!M32</f>
        <v>950</v>
      </c>
      <c r="E35" s="21">
        <f>Products_Master!AP32</f>
        <v>0</v>
      </c>
      <c r="F35" s="22">
        <f t="shared" si="0"/>
        <v>0</v>
      </c>
      <c r="G35" s="22">
        <f>Products_Master!AL32</f>
        <v>1996.9230769230769</v>
      </c>
      <c r="H35" s="22">
        <f t="shared" si="1"/>
        <v>0</v>
      </c>
    </row>
    <row r="36" spans="1:8" x14ac:dyDescent="0.3">
      <c r="A36" s="21" t="str">
        <f>Products_Master!A33</f>
        <v>CAM-IMX219</v>
      </c>
      <c r="B36" s="21" t="str">
        <f>Products_Master!D33</f>
        <v>Sony IMX219 MIPI Camera</v>
      </c>
      <c r="C36" s="21" t="str">
        <f>Products_Master!B33</f>
        <v>Camera</v>
      </c>
      <c r="D36" s="22">
        <f>Products_Master!M33</f>
        <v>1649</v>
      </c>
      <c r="E36" s="21">
        <f>Products_Master!AP33</f>
        <v>6</v>
      </c>
      <c r="F36" s="22">
        <f t="shared" si="0"/>
        <v>9894</v>
      </c>
      <c r="G36" s="22">
        <f>Products_Master!AL33</f>
        <v>3265.8769230769226</v>
      </c>
      <c r="H36" s="22">
        <f t="shared" si="1"/>
        <v>9701.2615384615347</v>
      </c>
    </row>
    <row r="37" spans="1:8" x14ac:dyDescent="0.3">
      <c r="A37" s="21" t="str">
        <f>Products_Master!A34</f>
        <v>CAM-IMX477</v>
      </c>
      <c r="B37" s="21" t="str">
        <f>Products_Master!D34</f>
        <v>Sony IMX477 HQ Camera</v>
      </c>
      <c r="C37" s="21" t="str">
        <f>Products_Master!B34</f>
        <v>Camera</v>
      </c>
      <c r="D37" s="22">
        <f>Products_Master!M34</f>
        <v>6999</v>
      </c>
      <c r="E37" s="21">
        <f>Products_Master!AP34</f>
        <v>0</v>
      </c>
      <c r="F37" s="22">
        <f t="shared" ref="F37:F68" si="2">D37*E37</f>
        <v>0</v>
      </c>
      <c r="G37" s="22">
        <f>Products_Master!AL34</f>
        <v>12978.184615384615</v>
      </c>
      <c r="H37" s="22">
        <f t="shared" ref="H37:H68" si="3">(G37-D37)*E37</f>
        <v>0</v>
      </c>
    </row>
    <row r="38" spans="1:8" x14ac:dyDescent="0.3">
      <c r="A38" s="21" t="str">
        <f>Products_Master!A35</f>
        <v>CAM-OV5647</v>
      </c>
      <c r="B38" s="21" t="str">
        <f>Products_Master!D35</f>
        <v>MIPI CSI-2 Camera (OV5647)</v>
      </c>
      <c r="C38" s="21" t="str">
        <f>Products_Master!B35</f>
        <v>Camera</v>
      </c>
      <c r="D38" s="22">
        <f>Products_Master!M35</f>
        <v>550</v>
      </c>
      <c r="E38" s="21">
        <f>Products_Master!AP35</f>
        <v>6</v>
      </c>
      <c r="F38" s="22">
        <f t="shared" si="2"/>
        <v>3300</v>
      </c>
      <c r="G38" s="22">
        <f>Products_Master!AL35</f>
        <v>1270.7692307692307</v>
      </c>
      <c r="H38" s="22">
        <f t="shared" si="3"/>
        <v>4324.6153846153848</v>
      </c>
    </row>
    <row r="39" spans="1:8" x14ac:dyDescent="0.3">
      <c r="A39" s="21" t="str">
        <f>Products_Master!A36</f>
        <v>CAM-OV7670</v>
      </c>
      <c r="B39" s="21" t="str">
        <f>Products_Master!D36</f>
        <v>DVP Camera OV7670</v>
      </c>
      <c r="C39" s="21" t="str">
        <f>Products_Master!B36</f>
        <v>Camera</v>
      </c>
      <c r="D39" s="22">
        <f>Products_Master!M36</f>
        <v>120</v>
      </c>
      <c r="E39" s="21">
        <f>Products_Master!AP36</f>
        <v>0</v>
      </c>
      <c r="F39" s="22">
        <f t="shared" si="2"/>
        <v>0</v>
      </c>
      <c r="G39" s="22">
        <f>Products_Master!AL36</f>
        <v>490.15384615384608</v>
      </c>
      <c r="H39" s="22">
        <f t="shared" si="3"/>
        <v>0</v>
      </c>
    </row>
    <row r="40" spans="1:8" x14ac:dyDescent="0.3">
      <c r="A40" s="21" t="str">
        <f>Products_Master!A37</f>
        <v>CAM-MLX90640</v>
      </c>
      <c r="B40" s="21" t="str">
        <f>Products_Master!D37</f>
        <v>Thermal Array MLX90640 Module</v>
      </c>
      <c r="C40" s="21" t="str">
        <f>Products_Master!B37</f>
        <v>Camera</v>
      </c>
      <c r="D40" s="22">
        <f>Products_Master!M37</f>
        <v>6180</v>
      </c>
      <c r="E40" s="21">
        <f>Products_Master!AP37</f>
        <v>0</v>
      </c>
      <c r="F40" s="22">
        <f t="shared" si="2"/>
        <v>0</v>
      </c>
      <c r="G40" s="22">
        <f>Products_Master!AL37</f>
        <v>11491.384615384615</v>
      </c>
      <c r="H40" s="22">
        <f t="shared" si="3"/>
        <v>0</v>
      </c>
    </row>
    <row r="41" spans="1:8" x14ac:dyDescent="0.3">
      <c r="A41" s="21" t="str">
        <f>Products_Master!A38</f>
        <v>SENS-MPU6050</v>
      </c>
      <c r="B41" s="21" t="str">
        <f>Products_Master!D38</f>
        <v>IMU MPU6050 Module</v>
      </c>
      <c r="C41" s="21" t="str">
        <f>Products_Master!B38</f>
        <v>Sensor</v>
      </c>
      <c r="D41" s="22">
        <f>Products_Master!M38</f>
        <v>165</v>
      </c>
      <c r="E41" s="21">
        <f>Products_Master!AP38</f>
        <v>30</v>
      </c>
      <c r="F41" s="22">
        <f t="shared" si="2"/>
        <v>4950</v>
      </c>
      <c r="G41" s="22">
        <f>Products_Master!AL38</f>
        <v>571.84615384615381</v>
      </c>
      <c r="H41" s="22">
        <f t="shared" si="3"/>
        <v>12205.384615384613</v>
      </c>
    </row>
    <row r="42" spans="1:8" x14ac:dyDescent="0.3">
      <c r="A42" s="21" t="str">
        <f>Products_Master!A39</f>
        <v>SENS-ICM20948</v>
      </c>
      <c r="B42" s="21" t="str">
        <f>Products_Master!D39</f>
        <v>IMU ICM20948 9-axis Module</v>
      </c>
      <c r="C42" s="21" t="str">
        <f>Products_Master!B39</f>
        <v>Sensor</v>
      </c>
      <c r="D42" s="22">
        <f>Products_Master!M39</f>
        <v>2459</v>
      </c>
      <c r="E42" s="21">
        <f>Products_Master!AP39</f>
        <v>0</v>
      </c>
      <c r="F42" s="22">
        <f t="shared" si="2"/>
        <v>0</v>
      </c>
      <c r="G42" s="22">
        <f>Products_Master!AL39</f>
        <v>4736.3384615384612</v>
      </c>
      <c r="H42" s="22">
        <f t="shared" si="3"/>
        <v>0</v>
      </c>
    </row>
    <row r="43" spans="1:8" x14ac:dyDescent="0.3">
      <c r="A43" s="21" t="str">
        <f>Products_Master!A40</f>
        <v>SENS-VL53L1X</v>
      </c>
      <c r="B43" s="21" t="str">
        <f>Products_Master!D40</f>
        <v>ToF Sensor VL53L1X Module</v>
      </c>
      <c r="C43" s="21" t="str">
        <f>Products_Master!B40</f>
        <v>Sensor</v>
      </c>
      <c r="D43" s="22">
        <f>Products_Master!M40</f>
        <v>1506</v>
      </c>
      <c r="E43" s="21">
        <f>Products_Master!AP40</f>
        <v>6</v>
      </c>
      <c r="F43" s="22">
        <f t="shared" si="2"/>
        <v>9036</v>
      </c>
      <c r="G43" s="22">
        <f>Products_Master!AL40</f>
        <v>3006.2769230769227</v>
      </c>
      <c r="H43" s="22">
        <f t="shared" si="3"/>
        <v>9001.6615384615361</v>
      </c>
    </row>
    <row r="44" spans="1:8" x14ac:dyDescent="0.3">
      <c r="A44" s="21" t="str">
        <f>Products_Master!A41</f>
        <v>SENS-RPLIDAR-A1</v>
      </c>
      <c r="B44" s="21" t="str">
        <f>Products_Master!D41</f>
        <v>LiDAR Module RPLIDAR A1</v>
      </c>
      <c r="C44" s="21" t="str">
        <f>Products_Master!B41</f>
        <v>Sensor</v>
      </c>
      <c r="D44" s="22">
        <f>Products_Master!M41</f>
        <v>7926</v>
      </c>
      <c r="E44" s="21">
        <f>Products_Master!AP41</f>
        <v>0</v>
      </c>
      <c r="F44" s="22">
        <f t="shared" si="2"/>
        <v>0</v>
      </c>
      <c r="G44" s="22">
        <f>Products_Master!AL41</f>
        <v>14661.046153846153</v>
      </c>
      <c r="H44" s="22">
        <f t="shared" si="3"/>
        <v>0</v>
      </c>
    </row>
    <row r="45" spans="1:8" x14ac:dyDescent="0.3">
      <c r="A45" s="21" t="str">
        <f>Products_Master!A42</f>
        <v>SENS-GPS-NEO6M</v>
      </c>
      <c r="B45" s="21" t="str">
        <f>Products_Master!D42</f>
        <v>GPS Module NEO-6M</v>
      </c>
      <c r="C45" s="21" t="str">
        <f>Products_Master!B42</f>
        <v>Sensor</v>
      </c>
      <c r="D45" s="22">
        <f>Products_Master!M42</f>
        <v>239</v>
      </c>
      <c r="E45" s="21">
        <f>Products_Master!AP42</f>
        <v>6</v>
      </c>
      <c r="F45" s="22">
        <f t="shared" si="2"/>
        <v>1434</v>
      </c>
      <c r="G45" s="22">
        <f>Products_Master!AL42</f>
        <v>706.18461538461531</v>
      </c>
      <c r="H45" s="22">
        <f t="shared" si="3"/>
        <v>2803.1076923076917</v>
      </c>
    </row>
    <row r="46" spans="1:8" x14ac:dyDescent="0.3">
      <c r="A46" s="21" t="str">
        <f>Products_Master!A43</f>
        <v>SENS-BMP280</v>
      </c>
      <c r="B46" s="21" t="str">
        <f>Products_Master!D43</f>
        <v>Pressure Sensor BMP280</v>
      </c>
      <c r="C46" s="21" t="str">
        <f>Products_Master!B43</f>
        <v>Sensor</v>
      </c>
      <c r="D46" s="22">
        <f>Products_Master!M43</f>
        <v>29</v>
      </c>
      <c r="E46" s="21">
        <f>Products_Master!AP43</f>
        <v>0</v>
      </c>
      <c r="F46" s="22">
        <f t="shared" si="2"/>
        <v>0</v>
      </c>
      <c r="G46" s="22">
        <f>Products_Master!AL43</f>
        <v>324.95384615384614</v>
      </c>
      <c r="H46" s="22">
        <f t="shared" si="3"/>
        <v>0</v>
      </c>
    </row>
    <row r="47" spans="1:8" x14ac:dyDescent="0.3">
      <c r="A47" s="21" t="str">
        <f>Products_Master!A44</f>
        <v>SENS-HCSR04</v>
      </c>
      <c r="B47" s="21" t="str">
        <f>Products_Master!D44</f>
        <v>Ultrasonic HC-SR04</v>
      </c>
      <c r="C47" s="21" t="str">
        <f>Products_Master!B44</f>
        <v>Sensor</v>
      </c>
      <c r="D47" s="22">
        <f>Products_Master!M44</f>
        <v>59</v>
      </c>
      <c r="E47" s="21">
        <f>Products_Master!AP44</f>
        <v>20</v>
      </c>
      <c r="F47" s="22">
        <f t="shared" si="2"/>
        <v>1180</v>
      </c>
      <c r="G47" s="22">
        <f>Products_Master!AL44</f>
        <v>379.41538461538454</v>
      </c>
      <c r="H47" s="22">
        <f t="shared" si="3"/>
        <v>6408.3076923076906</v>
      </c>
    </row>
    <row r="48" spans="1:8" x14ac:dyDescent="0.3">
      <c r="A48" s="21" t="str">
        <f>Products_Master!A45</f>
        <v>MCU-ESP32</v>
      </c>
      <c r="B48" s="21" t="str">
        <f>Products_Master!D45</f>
        <v>ESP32 DevKit</v>
      </c>
      <c r="C48" s="21" t="str">
        <f>Products_Master!B45</f>
        <v>Microcontroller</v>
      </c>
      <c r="D48" s="22">
        <f>Products_Master!M45</f>
        <v>339</v>
      </c>
      <c r="E48" s="21">
        <f>Products_Master!AP45</f>
        <v>20</v>
      </c>
      <c r="F48" s="22">
        <f t="shared" si="2"/>
        <v>6780</v>
      </c>
      <c r="G48" s="22">
        <f>Products_Master!AL45</f>
        <v>887.72307692307686</v>
      </c>
      <c r="H48" s="22">
        <f t="shared" si="3"/>
        <v>10974.461538461537</v>
      </c>
    </row>
    <row r="49" spans="1:8" x14ac:dyDescent="0.3">
      <c r="A49" s="21" t="str">
        <f>Products_Master!A46</f>
        <v>MCU-STM32F401</v>
      </c>
      <c r="B49" s="21" t="str">
        <f>Products_Master!D46</f>
        <v>STM32F401 Dev Board</v>
      </c>
      <c r="C49" s="21" t="str">
        <f>Products_Master!B46</f>
        <v>Microcontroller</v>
      </c>
      <c r="D49" s="22">
        <f>Products_Master!M46</f>
        <v>284</v>
      </c>
      <c r="E49" s="21">
        <f>Products_Master!AP46</f>
        <v>10</v>
      </c>
      <c r="F49" s="22">
        <f t="shared" si="2"/>
        <v>2840</v>
      </c>
      <c r="G49" s="22">
        <f>Products_Master!AL46</f>
        <v>787.87692307692305</v>
      </c>
      <c r="H49" s="22">
        <f t="shared" si="3"/>
        <v>5038.7692307692305</v>
      </c>
    </row>
    <row r="50" spans="1:8" ht="28.8" customHeight="1" x14ac:dyDescent="0.3">
      <c r="A50" s="21" t="str">
        <f>Products_Master!A47</f>
        <v>MCU-RP2040-PICO</v>
      </c>
      <c r="B50" s="21" t="str">
        <f>Products_Master!D47</f>
        <v>Raspberry Pi Pico</v>
      </c>
      <c r="C50" s="21" t="str">
        <f>Products_Master!B47</f>
        <v>Microcontroller</v>
      </c>
      <c r="D50" s="22">
        <f>Products_Master!M47</f>
        <v>359</v>
      </c>
      <c r="E50" s="21">
        <f>Products_Master!AP47</f>
        <v>10</v>
      </c>
      <c r="F50" s="22">
        <f t="shared" si="2"/>
        <v>3590</v>
      </c>
      <c r="G50" s="22">
        <f>Products_Master!AL47</f>
        <v>924.03076923076924</v>
      </c>
      <c r="H50" s="22">
        <f t="shared" si="3"/>
        <v>5650.3076923076924</v>
      </c>
    </row>
    <row r="51" spans="1:8" ht="28.8" customHeight="1" x14ac:dyDescent="0.3">
      <c r="A51" s="21" t="str">
        <f>Products_Master!A48</f>
        <v>MCU-ARD-UNO-R4</v>
      </c>
      <c r="B51" s="21" t="str">
        <f>Products_Master!D48</f>
        <v>Arduino UNO R4</v>
      </c>
      <c r="C51" s="21" t="str">
        <f>Products_Master!B48</f>
        <v>Microcontroller</v>
      </c>
      <c r="D51" s="22">
        <f>Products_Master!M48</f>
        <v>699</v>
      </c>
      <c r="E51" s="21">
        <f>Products_Master!AP48</f>
        <v>0</v>
      </c>
      <c r="F51" s="22">
        <f t="shared" si="2"/>
        <v>0</v>
      </c>
      <c r="G51" s="22">
        <f>Products_Master!AL48</f>
        <v>1541.2615384615383</v>
      </c>
      <c r="H51" s="22">
        <f t="shared" si="3"/>
        <v>0</v>
      </c>
    </row>
    <row r="52" spans="1:8" ht="28.8" customHeight="1" x14ac:dyDescent="0.3">
      <c r="A52" s="21" t="str">
        <f>Products_Master!A49</f>
        <v>MCU-ARD-NANO-EVERY</v>
      </c>
      <c r="B52" s="21" t="str">
        <f>Products_Master!D49</f>
        <v>Arduino Nano Every</v>
      </c>
      <c r="C52" s="21" t="str">
        <f>Products_Master!B49</f>
        <v>Microcontroller</v>
      </c>
      <c r="D52" s="22">
        <f>Products_Master!M49</f>
        <v>700</v>
      </c>
      <c r="E52" s="21">
        <f>Products_Master!AP49</f>
        <v>0</v>
      </c>
      <c r="F52" s="22">
        <f t="shared" si="2"/>
        <v>0</v>
      </c>
      <c r="G52" s="22">
        <f>Products_Master!AL49</f>
        <v>1543.0769230769231</v>
      </c>
      <c r="H52" s="22">
        <f t="shared" si="3"/>
        <v>0</v>
      </c>
    </row>
    <row r="53" spans="1:8" x14ac:dyDescent="0.3">
      <c r="A53" s="21" t="str">
        <f>Products_Master!A50</f>
        <v>CONN-CP2102</v>
      </c>
      <c r="B53" s="21" t="str">
        <f>Products_Master!D50</f>
        <v>USB-UART CP2102 Module</v>
      </c>
      <c r="C53" s="21" t="str">
        <f>Products_Master!B50</f>
        <v>Connectivity</v>
      </c>
      <c r="D53" s="22">
        <f>Products_Master!M50</f>
        <v>107</v>
      </c>
      <c r="E53" s="21">
        <f>Products_Master!AP50</f>
        <v>30</v>
      </c>
      <c r="F53" s="22">
        <f t="shared" si="2"/>
        <v>3210</v>
      </c>
      <c r="G53" s="22">
        <f>Products_Master!AL50</f>
        <v>466.55384615384611</v>
      </c>
      <c r="H53" s="22">
        <f t="shared" si="3"/>
        <v>10786.615384615383</v>
      </c>
    </row>
    <row r="54" spans="1:8" x14ac:dyDescent="0.3">
      <c r="A54" s="21" t="str">
        <f>Products_Master!A51</f>
        <v>CONN-FT232</v>
      </c>
      <c r="B54" s="21" t="str">
        <f>Products_Master!D51</f>
        <v>USB-UART FT232RL Module</v>
      </c>
      <c r="C54" s="21" t="str">
        <f>Products_Master!B51</f>
        <v>Connectivity</v>
      </c>
      <c r="D54" s="22">
        <f>Products_Master!M51</f>
        <v>220</v>
      </c>
      <c r="E54" s="21">
        <f>Products_Master!AP51</f>
        <v>10</v>
      </c>
      <c r="F54" s="22">
        <f t="shared" si="2"/>
        <v>2200</v>
      </c>
      <c r="G54" s="22">
        <f>Products_Master!AL51</f>
        <v>671.69230769230762</v>
      </c>
      <c r="H54" s="22">
        <f t="shared" si="3"/>
        <v>4516.9230769230762</v>
      </c>
    </row>
    <row r="55" spans="1:8" x14ac:dyDescent="0.3">
      <c r="A55" s="21" t="str">
        <f>Products_Master!A52</f>
        <v>CONN-FT4232H</v>
      </c>
      <c r="B55" s="21" t="str">
        <f>Products_Master!D52</f>
        <v>USB-JTAG FT4232H</v>
      </c>
      <c r="C55" s="21" t="str">
        <f>Products_Master!B52</f>
        <v>Connectivity</v>
      </c>
      <c r="D55" s="22">
        <f>Products_Master!M52</f>
        <v>550</v>
      </c>
      <c r="E55" s="21">
        <f>Products_Master!AP52</f>
        <v>0</v>
      </c>
      <c r="F55" s="22">
        <f t="shared" si="2"/>
        <v>0</v>
      </c>
      <c r="G55" s="22">
        <f>Products_Master!AL52</f>
        <v>1270.7692307692307</v>
      </c>
      <c r="H55" s="22">
        <f t="shared" si="3"/>
        <v>0</v>
      </c>
    </row>
    <row r="56" spans="1:8" x14ac:dyDescent="0.3">
      <c r="A56" s="21" t="str">
        <f>Products_Master!A53</f>
        <v>CONN-LAN8720</v>
      </c>
      <c r="B56" s="21" t="str">
        <f>Products_Master!D53</f>
        <v>Ethernet PHY Module LAN8720</v>
      </c>
      <c r="C56" s="21" t="str">
        <f>Products_Master!B53</f>
        <v>Connectivity</v>
      </c>
      <c r="D56" s="22">
        <f>Products_Master!M53</f>
        <v>120</v>
      </c>
      <c r="E56" s="21">
        <f>Products_Master!AP53</f>
        <v>0</v>
      </c>
      <c r="F56" s="22">
        <f t="shared" si="2"/>
        <v>0</v>
      </c>
      <c r="G56" s="22">
        <f>Products_Master!AL53</f>
        <v>490.15384615384608</v>
      </c>
      <c r="H56" s="22">
        <f t="shared" si="3"/>
        <v>0</v>
      </c>
    </row>
    <row r="57" spans="1:8" x14ac:dyDescent="0.3">
      <c r="A57" s="21" t="str">
        <f>Products_Master!A54</f>
        <v>CONN-FE1-1S</v>
      </c>
      <c r="B57" s="21" t="str">
        <f>Products_Master!D54</f>
        <v>USB Hub Module FE1.1s</v>
      </c>
      <c r="C57" s="21" t="str">
        <f>Products_Master!B54</f>
        <v>Connectivity</v>
      </c>
      <c r="D57" s="22">
        <f>Products_Master!M54</f>
        <v>180</v>
      </c>
      <c r="E57" s="21">
        <f>Products_Master!AP54</f>
        <v>0</v>
      </c>
      <c r="F57" s="22">
        <f t="shared" si="2"/>
        <v>0</v>
      </c>
      <c r="G57" s="22">
        <f>Products_Master!AL54</f>
        <v>599.07692307692298</v>
      </c>
      <c r="H57" s="22">
        <f t="shared" si="3"/>
        <v>0</v>
      </c>
    </row>
    <row r="58" spans="1:8" x14ac:dyDescent="0.3">
      <c r="A58" s="21" t="str">
        <f>Products_Master!A55</f>
        <v>MEM-W25Q128</v>
      </c>
      <c r="B58" s="21" t="str">
        <f>Products_Master!D55</f>
        <v>QSPI NOR Flash 128Mbit</v>
      </c>
      <c r="C58" s="21" t="str">
        <f>Products_Master!B55</f>
        <v>Memory</v>
      </c>
      <c r="D58" s="22">
        <f>Products_Master!M55</f>
        <v>161</v>
      </c>
      <c r="E58" s="21">
        <f>Products_Master!AP55</f>
        <v>0</v>
      </c>
      <c r="F58" s="22">
        <f t="shared" si="2"/>
        <v>0</v>
      </c>
      <c r="G58" s="22">
        <f>Products_Master!AL55</f>
        <v>564.58461538461529</v>
      </c>
      <c r="H58" s="22">
        <f t="shared" si="3"/>
        <v>0</v>
      </c>
    </row>
    <row r="59" spans="1:8" x14ac:dyDescent="0.3">
      <c r="A59" s="21" t="str">
        <f>Products_Master!A56</f>
        <v>MEM-DDR3-512</v>
      </c>
      <c r="B59" s="21" t="str">
        <f>Products_Master!D56</f>
        <v>DDR3 SDRAM 512MB (x16)</v>
      </c>
      <c r="C59" s="21" t="str">
        <f>Products_Master!B56</f>
        <v>Memory</v>
      </c>
      <c r="D59" s="22">
        <f>Products_Master!M56</f>
        <v>650</v>
      </c>
      <c r="E59" s="21">
        <f>Products_Master!AP56</f>
        <v>0</v>
      </c>
      <c r="F59" s="22">
        <f t="shared" si="2"/>
        <v>0</v>
      </c>
      <c r="G59" s="22">
        <f>Products_Master!AL56</f>
        <v>1452.3076923076922</v>
      </c>
      <c r="H59" s="22">
        <f t="shared" si="3"/>
        <v>0</v>
      </c>
    </row>
    <row r="60" spans="1:8" x14ac:dyDescent="0.3">
      <c r="A60" s="21" t="str">
        <f>Products_Master!A57</f>
        <v>MEM-EMMC-32</v>
      </c>
      <c r="B60" s="21" t="str">
        <f>Products_Master!D57</f>
        <v>eMMC 32GB Module</v>
      </c>
      <c r="C60" s="21" t="str">
        <f>Products_Master!B57</f>
        <v>Memory</v>
      </c>
      <c r="D60" s="22">
        <f>Products_Master!M57</f>
        <v>450</v>
      </c>
      <c r="E60" s="21">
        <f>Products_Master!AP57</f>
        <v>0</v>
      </c>
      <c r="F60" s="22">
        <f t="shared" si="2"/>
        <v>0</v>
      </c>
      <c r="G60" s="22">
        <f>Products_Master!AL57</f>
        <v>1089.2307692307693</v>
      </c>
      <c r="H60" s="22">
        <f t="shared" si="3"/>
        <v>0</v>
      </c>
    </row>
    <row r="61" spans="1:8" ht="28.8" customHeight="1" x14ac:dyDescent="0.3">
      <c r="A61" s="21" t="str">
        <f>Products_Master!A58</f>
        <v>MEM-MICROSD-32</v>
      </c>
      <c r="B61" s="21" t="str">
        <f>Products_Master!D58</f>
        <v>microSD Card 32GB</v>
      </c>
      <c r="C61" s="21" t="str">
        <f>Products_Master!B58</f>
        <v>Memory</v>
      </c>
      <c r="D61" s="22">
        <f>Products_Master!M58</f>
        <v>719</v>
      </c>
      <c r="E61" s="21">
        <f>Products_Master!AP58</f>
        <v>0</v>
      </c>
      <c r="F61" s="22">
        <f t="shared" si="2"/>
        <v>0</v>
      </c>
      <c r="G61" s="22">
        <f>Products_Master!AL58</f>
        <v>1577.5692307692304</v>
      </c>
      <c r="H61" s="22">
        <f t="shared" si="3"/>
        <v>0</v>
      </c>
    </row>
    <row r="62" spans="1:8" x14ac:dyDescent="0.3">
      <c r="A62" s="21" t="str">
        <f>Products_Master!A59</f>
        <v>PWR-MP2459</v>
      </c>
      <c r="B62" s="21" t="str">
        <f>Products_Master!D59</f>
        <v>Buck Converter Module MP2459</v>
      </c>
      <c r="C62" s="21" t="str">
        <f>Products_Master!B59</f>
        <v>Power</v>
      </c>
      <c r="D62" s="22">
        <f>Products_Master!M59</f>
        <v>18</v>
      </c>
      <c r="E62" s="21">
        <f>Products_Master!AP59</f>
        <v>0</v>
      </c>
      <c r="F62" s="22">
        <f t="shared" si="2"/>
        <v>0</v>
      </c>
      <c r="G62" s="22">
        <f>Products_Master!AL59</f>
        <v>304.98461538461532</v>
      </c>
      <c r="H62" s="22">
        <f t="shared" si="3"/>
        <v>0</v>
      </c>
    </row>
    <row r="63" spans="1:8" x14ac:dyDescent="0.3">
      <c r="A63" s="21" t="str">
        <f>Products_Master!A60</f>
        <v>PWR-AMS1117</v>
      </c>
      <c r="B63" s="21" t="str">
        <f>Products_Master!D60</f>
        <v>LDO Regulator AMS1117</v>
      </c>
      <c r="C63" s="21" t="str">
        <f>Products_Master!B60</f>
        <v>Power</v>
      </c>
      <c r="D63" s="22">
        <f>Products_Master!M60</f>
        <v>13</v>
      </c>
      <c r="E63" s="21">
        <f>Products_Master!AP60</f>
        <v>50</v>
      </c>
      <c r="F63" s="22">
        <f t="shared" si="2"/>
        <v>650</v>
      </c>
      <c r="G63" s="22">
        <f>Products_Master!AL60</f>
        <v>295.90769230769229</v>
      </c>
      <c r="H63" s="22">
        <f t="shared" si="3"/>
        <v>14145.384615384613</v>
      </c>
    </row>
    <row r="64" spans="1:8" x14ac:dyDescent="0.3">
      <c r="A64" s="21" t="str">
        <f>Products_Master!A61</f>
        <v>PWR-XL4015</v>
      </c>
      <c r="B64" s="21" t="str">
        <f>Products_Master!D61</f>
        <v>XL4015 5A Buck Module</v>
      </c>
      <c r="C64" s="21" t="str">
        <f>Products_Master!B61</f>
        <v>Power</v>
      </c>
      <c r="D64" s="22">
        <f>Products_Master!M61</f>
        <v>66</v>
      </c>
      <c r="E64" s="21">
        <f>Products_Master!AP61</f>
        <v>6</v>
      </c>
      <c r="F64" s="22">
        <f t="shared" si="2"/>
        <v>396</v>
      </c>
      <c r="G64" s="22">
        <f>Products_Master!AL61</f>
        <v>392.12307692307689</v>
      </c>
      <c r="H64" s="22">
        <f t="shared" si="3"/>
        <v>1956.7384615384613</v>
      </c>
    </row>
    <row r="65" spans="1:8" x14ac:dyDescent="0.3">
      <c r="A65" s="21" t="str">
        <f>Products_Master!A62</f>
        <v>PWR-LM2596</v>
      </c>
      <c r="B65" s="21" t="str">
        <f>Products_Master!D62</f>
        <v>LM2596 Buck Module</v>
      </c>
      <c r="C65" s="21" t="str">
        <f>Products_Master!B62</f>
        <v>Power</v>
      </c>
      <c r="D65" s="22">
        <f>Products_Master!M62</f>
        <v>39</v>
      </c>
      <c r="E65" s="21">
        <f>Products_Master!AP62</f>
        <v>20</v>
      </c>
      <c r="F65" s="22">
        <f t="shared" si="2"/>
        <v>780</v>
      </c>
      <c r="G65" s="22">
        <f>Products_Master!AL62</f>
        <v>343.10769230769228</v>
      </c>
      <c r="H65" s="22">
        <f t="shared" si="3"/>
        <v>6082.1538461538457</v>
      </c>
    </row>
    <row r="66" spans="1:8" x14ac:dyDescent="0.3">
      <c r="A66" s="21" t="str">
        <f>Products_Master!A63</f>
        <v>PWR-IRFZ44</v>
      </c>
      <c r="B66" s="21" t="str">
        <f>Products_Master!D63</f>
        <v>MOSFET IRFZ44N</v>
      </c>
      <c r="C66" s="21" t="str">
        <f>Products_Master!B63</f>
        <v>Power</v>
      </c>
      <c r="D66" s="22">
        <f>Products_Master!M63</f>
        <v>30</v>
      </c>
      <c r="E66" s="21">
        <f>Products_Master!AP63</f>
        <v>0</v>
      </c>
      <c r="F66" s="22">
        <f t="shared" si="2"/>
        <v>0</v>
      </c>
      <c r="G66" s="22">
        <f>Products_Master!AL63</f>
        <v>326.76923076923072</v>
      </c>
      <c r="H66" s="22">
        <f t="shared" si="3"/>
        <v>0</v>
      </c>
    </row>
    <row r="67" spans="1:8" x14ac:dyDescent="0.3">
      <c r="A67" s="21" t="str">
        <f>Products_Master!A64</f>
        <v>PWR-MLCC-KIT</v>
      </c>
      <c r="B67" s="21" t="str">
        <f>Products_Master!D64</f>
        <v>MLCC Capacitor Assortment Kit</v>
      </c>
      <c r="C67" s="21" t="str">
        <f>Products_Master!B64</f>
        <v>Power</v>
      </c>
      <c r="D67" s="22">
        <f>Products_Master!M64</f>
        <v>450</v>
      </c>
      <c r="E67" s="21">
        <f>Products_Master!AP64</f>
        <v>5</v>
      </c>
      <c r="F67" s="22">
        <f t="shared" si="2"/>
        <v>2250</v>
      </c>
      <c r="G67" s="22">
        <f>Products_Master!AL64</f>
        <v>1089.2307692307693</v>
      </c>
      <c r="H67" s="22">
        <f t="shared" si="3"/>
        <v>3196.1538461538466</v>
      </c>
    </row>
    <row r="68" spans="1:8" x14ac:dyDescent="0.3">
      <c r="A68" s="21" t="str">
        <f>Products_Master!A65</f>
        <v>PWR-IND-KIT</v>
      </c>
      <c r="B68" s="21" t="str">
        <f>Products_Master!D65</f>
        <v>Inductor Assortment Kit</v>
      </c>
      <c r="C68" s="21" t="str">
        <f>Products_Master!B65</f>
        <v>Power</v>
      </c>
      <c r="D68" s="22">
        <f>Products_Master!M65</f>
        <v>350</v>
      </c>
      <c r="E68" s="21">
        <f>Products_Master!AP65</f>
        <v>0</v>
      </c>
      <c r="F68" s="22">
        <f t="shared" si="2"/>
        <v>0</v>
      </c>
      <c r="G68" s="22">
        <f>Products_Master!AL65</f>
        <v>907.69230769230762</v>
      </c>
      <c r="H68" s="22">
        <f t="shared" si="3"/>
        <v>0</v>
      </c>
    </row>
    <row r="69" spans="1:8" x14ac:dyDescent="0.3">
      <c r="A69" s="21" t="str">
        <f>Products_Master!A66</f>
        <v>PWR-TVS-SMBJ</v>
      </c>
      <c r="B69" s="21" t="str">
        <f>Products_Master!D66</f>
        <v>TVS Diode SMBJ Series</v>
      </c>
      <c r="C69" s="21" t="str">
        <f>Products_Master!B66</f>
        <v>Power</v>
      </c>
      <c r="D69" s="22">
        <f>Products_Master!M66</f>
        <v>12</v>
      </c>
      <c r="E69" s="21">
        <f>Products_Master!AP66</f>
        <v>0</v>
      </c>
      <c r="F69" s="22">
        <f t="shared" ref="F69:F75" si="4">D69*E69</f>
        <v>0</v>
      </c>
      <c r="G69" s="22">
        <f>Products_Master!AL66</f>
        <v>294.09230769230766</v>
      </c>
      <c r="H69" s="22">
        <f t="shared" ref="H69:H75" si="5">(G69-D69)*E69</f>
        <v>0</v>
      </c>
    </row>
    <row r="70" spans="1:8" x14ac:dyDescent="0.3">
      <c r="A70" s="21" t="str">
        <f>Products_Master!A67</f>
        <v>TOOL-LOGIC-8CH</v>
      </c>
      <c r="B70" s="21" t="str">
        <f>Products_Master!D67</f>
        <v>8-Channel USB Logic Analyzer</v>
      </c>
      <c r="C70" s="21" t="str">
        <f>Products_Master!B67</f>
        <v>Tool</v>
      </c>
      <c r="D70" s="22">
        <f>Products_Master!M67</f>
        <v>355</v>
      </c>
      <c r="E70" s="21">
        <f>Products_Master!AP67</f>
        <v>2</v>
      </c>
      <c r="F70" s="22">
        <f t="shared" si="4"/>
        <v>710</v>
      </c>
      <c r="G70" s="22">
        <f>Products_Master!AL67</f>
        <v>916.76923076923072</v>
      </c>
      <c r="H70" s="22">
        <f t="shared" si="5"/>
        <v>1123.5384615384614</v>
      </c>
    </row>
    <row r="71" spans="1:8" x14ac:dyDescent="0.3">
      <c r="A71" s="21" t="str">
        <f>Products_Master!A68</f>
        <v>TOOL-JTAG</v>
      </c>
      <c r="B71" s="21" t="str">
        <f>Products_Master!D68</f>
        <v>USB JTAG Programmer</v>
      </c>
      <c r="C71" s="21" t="str">
        <f>Products_Master!B68</f>
        <v>Tool</v>
      </c>
      <c r="D71" s="22">
        <f>Products_Master!M68</f>
        <v>3345</v>
      </c>
      <c r="E71" s="21">
        <f>Products_Master!AP68</f>
        <v>0</v>
      </c>
      <c r="F71" s="22">
        <f t="shared" si="4"/>
        <v>0</v>
      </c>
      <c r="G71" s="22">
        <f>Products_Master!AL68</f>
        <v>6344.7692307692296</v>
      </c>
      <c r="H71" s="22">
        <f t="shared" si="5"/>
        <v>0</v>
      </c>
    </row>
    <row r="72" spans="1:8" x14ac:dyDescent="0.3">
      <c r="A72" s="21" t="str">
        <f>Products_Master!A69</f>
        <v>TOOL-DMM</v>
      </c>
      <c r="B72" s="21" t="str">
        <f>Products_Master!D69</f>
        <v>Digital Multimeter (basic)</v>
      </c>
      <c r="C72" s="21" t="str">
        <f>Products_Master!B69</f>
        <v>Tool</v>
      </c>
      <c r="D72" s="22">
        <f>Products_Master!M69</f>
        <v>1569</v>
      </c>
      <c r="E72" s="21">
        <f>Products_Master!AP69</f>
        <v>0</v>
      </c>
      <c r="F72" s="22">
        <f t="shared" si="4"/>
        <v>0</v>
      </c>
      <c r="G72" s="22">
        <f>Products_Master!AL69</f>
        <v>3120.6461538461535</v>
      </c>
      <c r="H72" s="22">
        <f t="shared" si="5"/>
        <v>0</v>
      </c>
    </row>
    <row r="73" spans="1:8" ht="28.8" customHeight="1" x14ac:dyDescent="0.3">
      <c r="A73" s="21" t="str">
        <f>Products_Master!A70</f>
        <v>ACC-BREADBOARD</v>
      </c>
      <c r="B73" s="21" t="str">
        <f>Products_Master!D70</f>
        <v>Breadboard (full size)</v>
      </c>
      <c r="C73" s="21" t="str">
        <f>Products_Master!B70</f>
        <v>Accessory</v>
      </c>
      <c r="D73" s="22">
        <f>Products_Master!M70</f>
        <v>54</v>
      </c>
      <c r="E73" s="21">
        <f>Products_Master!AP70</f>
        <v>25</v>
      </c>
      <c r="F73" s="22">
        <f t="shared" si="4"/>
        <v>1350</v>
      </c>
      <c r="G73" s="22">
        <f>Products_Master!AL70</f>
        <v>370.3384615384615</v>
      </c>
      <c r="H73" s="22">
        <f t="shared" si="5"/>
        <v>7908.4615384615372</v>
      </c>
    </row>
    <row r="74" spans="1:8" x14ac:dyDescent="0.3">
      <c r="A74" s="21" t="str">
        <f>Products_Master!A71</f>
        <v>ACC-JUMPER</v>
      </c>
      <c r="B74" s="21" t="str">
        <f>Products_Master!D71</f>
        <v>Jumper Wires Pack</v>
      </c>
      <c r="C74" s="21" t="str">
        <f>Products_Master!B71</f>
        <v>Accessory</v>
      </c>
      <c r="D74" s="22">
        <f>Products_Master!M71</f>
        <v>115.83</v>
      </c>
      <c r="E74" s="21">
        <f>Products_Master!AP71</f>
        <v>40</v>
      </c>
      <c r="F74" s="22">
        <f t="shared" si="4"/>
        <v>4633.2</v>
      </c>
      <c r="G74" s="22">
        <f>Products_Master!AL71</f>
        <v>482.58369230769227</v>
      </c>
      <c r="H74" s="22">
        <f t="shared" si="5"/>
        <v>14670.147692307692</v>
      </c>
    </row>
    <row r="75" spans="1:8" x14ac:dyDescent="0.3">
      <c r="A75" s="21" t="str">
        <f>Products_Master!A72</f>
        <v>TOOL-SOLDER-KIT</v>
      </c>
      <c r="B75" s="21" t="str">
        <f>Products_Master!D72</f>
        <v>Soldering Kit</v>
      </c>
      <c r="C75" s="21" t="str">
        <f>Products_Master!B72</f>
        <v>Tool</v>
      </c>
      <c r="D75" s="22">
        <f>Products_Master!M72</f>
        <v>399</v>
      </c>
      <c r="E75" s="21">
        <f>Products_Master!AP72</f>
        <v>8</v>
      </c>
      <c r="F75" s="22">
        <f t="shared" si="4"/>
        <v>3192</v>
      </c>
      <c r="G75" s="22">
        <f>Products_Master!AL72</f>
        <v>996.64615384615377</v>
      </c>
      <c r="H75" s="22">
        <f t="shared" si="5"/>
        <v>4781.1692307692301</v>
      </c>
    </row>
    <row r="77" spans="1:8" x14ac:dyDescent="0.3">
      <c r="E77" s="2" t="s">
        <v>1000</v>
      </c>
      <c r="F77" s="23">
        <f>SUM(F5:F75)</f>
        <v>229908.2</v>
      </c>
      <c r="H77" s="23">
        <f>SUM(H5:H75)</f>
        <v>290395.91692307685</v>
      </c>
    </row>
  </sheetData>
  <autoFilter ref="A4:H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38" customWidth="1"/>
    <col min="3" max="3" width="14" customWidth="1"/>
    <col min="4" max="4" width="18" customWidth="1"/>
    <col min="5" max="5" width="8" customWidth="1"/>
    <col min="6" max="6" width="18" customWidth="1"/>
    <col min="7" max="7" width="22" customWidth="1"/>
    <col min="8" max="8" width="24" customWidth="1"/>
  </cols>
  <sheetData>
    <row r="1" spans="1:8" x14ac:dyDescent="0.3">
      <c r="A1" s="18" t="s">
        <v>994</v>
      </c>
      <c r="B1" s="19">
        <v>1000000</v>
      </c>
    </row>
    <row r="2" spans="1:8" ht="28.8" customHeight="1" x14ac:dyDescent="0.3">
      <c r="A2" s="18" t="s">
        <v>995</v>
      </c>
      <c r="B2" s="20">
        <f>SUM(F5:F75)</f>
        <v>463990.2</v>
      </c>
    </row>
    <row r="3" spans="1:8" ht="28.8" customHeight="1" x14ac:dyDescent="0.3">
      <c r="A3" s="18" t="s">
        <v>996</v>
      </c>
      <c r="B3" s="20">
        <f>B1-B2</f>
        <v>536009.80000000005</v>
      </c>
    </row>
    <row r="4" spans="1:8" ht="28.8" customHeight="1" x14ac:dyDescent="0.3">
      <c r="A4" s="6" t="s">
        <v>27</v>
      </c>
      <c r="B4" s="6" t="s">
        <v>30</v>
      </c>
      <c r="C4" s="6" t="s">
        <v>28</v>
      </c>
      <c r="D4" s="6" t="s">
        <v>39</v>
      </c>
      <c r="E4" s="6" t="s">
        <v>997</v>
      </c>
      <c r="F4" s="6" t="s">
        <v>998</v>
      </c>
      <c r="G4" s="6" t="s">
        <v>64</v>
      </c>
      <c r="H4" s="6" t="s">
        <v>999</v>
      </c>
    </row>
    <row r="5" spans="1:8" x14ac:dyDescent="0.3">
      <c r="A5" s="21" t="str">
        <f>Products_Master!A2</f>
        <v>FPGA-A7-35T</v>
      </c>
      <c r="B5" s="21" t="str">
        <f>Products_Master!D2</f>
        <v>Artix-7 FPGA Dev Board</v>
      </c>
      <c r="C5" s="21" t="str">
        <f>Products_Master!B2</f>
        <v>FPGA Board</v>
      </c>
      <c r="D5" s="22">
        <f>Products_Master!M2</f>
        <v>6500</v>
      </c>
      <c r="E5" s="21">
        <f>Products_Master!AQ2</f>
        <v>8</v>
      </c>
      <c r="F5" s="22">
        <f t="shared" ref="F5:F36" si="0">D5*E5</f>
        <v>52000</v>
      </c>
      <c r="G5" s="22">
        <f>Products_Master!AL2</f>
        <v>12072.307692307691</v>
      </c>
      <c r="H5" s="22">
        <f t="shared" ref="H5:H36" si="1">(G5-D5)*E5</f>
        <v>44578.461538461532</v>
      </c>
    </row>
    <row r="6" spans="1:8" x14ac:dyDescent="0.3">
      <c r="A6" s="21" t="str">
        <f>Products_Master!A3</f>
        <v>FPGA-A7-100T</v>
      </c>
      <c r="B6" s="21" t="str">
        <f>Products_Master!D3</f>
        <v>Artix-7 FPGA Dev Board</v>
      </c>
      <c r="C6" s="21" t="str">
        <f>Products_Master!B3</f>
        <v>FPGA Board</v>
      </c>
      <c r="D6" s="22">
        <f>Products_Master!M3</f>
        <v>10500</v>
      </c>
      <c r="E6" s="21">
        <f>Products_Master!AQ3</f>
        <v>0</v>
      </c>
      <c r="F6" s="22">
        <f t="shared" si="0"/>
        <v>0</v>
      </c>
      <c r="G6" s="22">
        <f>Products_Master!AL3</f>
        <v>19333.846153846152</v>
      </c>
      <c r="H6" s="22">
        <f t="shared" si="1"/>
        <v>0</v>
      </c>
    </row>
    <row r="7" spans="1:8" x14ac:dyDescent="0.3">
      <c r="A7" s="21" t="str">
        <f>Products_Master!A4</f>
        <v>FPGA-ZYNQ-7020</v>
      </c>
      <c r="B7" s="21" t="str">
        <f>Products_Master!D4</f>
        <v>Zynq-7000 Dev Board</v>
      </c>
      <c r="C7" s="21" t="str">
        <f>Products_Master!B4</f>
        <v>FPGA Board</v>
      </c>
      <c r="D7" s="22">
        <f>Products_Master!M4</f>
        <v>12500</v>
      </c>
      <c r="E7" s="21">
        <f>Products_Master!AQ4</f>
        <v>4</v>
      </c>
      <c r="F7" s="22">
        <f t="shared" si="0"/>
        <v>50000</v>
      </c>
      <c r="G7" s="22">
        <f>Products_Master!AL4</f>
        <v>22964.615384615383</v>
      </c>
      <c r="H7" s="22">
        <f t="shared" si="1"/>
        <v>41858.461538461532</v>
      </c>
    </row>
    <row r="8" spans="1:8" x14ac:dyDescent="0.3">
      <c r="A8" s="21" t="str">
        <f>Products_Master!A5</f>
        <v>FPGA-SPARTAN6</v>
      </c>
      <c r="B8" s="21" t="str">
        <f>Products_Master!D5</f>
        <v>Spartan-6 Dev Board</v>
      </c>
      <c r="C8" s="21" t="str">
        <f>Products_Master!B5</f>
        <v>FPGA Board</v>
      </c>
      <c r="D8" s="22">
        <f>Products_Master!M5</f>
        <v>4200</v>
      </c>
      <c r="E8" s="21">
        <f>Products_Master!AQ5</f>
        <v>0</v>
      </c>
      <c r="F8" s="22">
        <f t="shared" si="0"/>
        <v>0</v>
      </c>
      <c r="G8" s="22">
        <f>Products_Master!AL5</f>
        <v>7896.9230769230762</v>
      </c>
      <c r="H8" s="22">
        <f t="shared" si="1"/>
        <v>0</v>
      </c>
    </row>
    <row r="9" spans="1:8" x14ac:dyDescent="0.3">
      <c r="A9" s="21" t="str">
        <f>Products_Master!A6</f>
        <v>FPGA-ICE40UP5K</v>
      </c>
      <c r="B9" s="21" t="str">
        <f>Products_Master!D6</f>
        <v>iCE40 UltraPlus Dev Board</v>
      </c>
      <c r="C9" s="21" t="str">
        <f>Products_Master!B6</f>
        <v>FPGA Board</v>
      </c>
      <c r="D9" s="22">
        <f>Products_Master!M6</f>
        <v>2200</v>
      </c>
      <c r="E9" s="21">
        <f>Products_Master!AQ6</f>
        <v>6</v>
      </c>
      <c r="F9" s="22">
        <f t="shared" si="0"/>
        <v>13200</v>
      </c>
      <c r="G9" s="22">
        <f>Products_Master!AL6</f>
        <v>4266.1538461538457</v>
      </c>
      <c r="H9" s="22">
        <f t="shared" si="1"/>
        <v>12396.923076923074</v>
      </c>
    </row>
    <row r="10" spans="1:8" x14ac:dyDescent="0.3">
      <c r="A10" s="21" t="str">
        <f>Products_Master!A7</f>
        <v>FPGA-ECP5-25F</v>
      </c>
      <c r="B10" s="21" t="str">
        <f>Products_Master!D7</f>
        <v>ECP5 Dev Board</v>
      </c>
      <c r="C10" s="21" t="str">
        <f>Products_Master!B7</f>
        <v>FPGA Board</v>
      </c>
      <c r="D10" s="22">
        <f>Products_Master!M7</f>
        <v>5800</v>
      </c>
      <c r="E10" s="21">
        <f>Products_Master!AQ7</f>
        <v>6</v>
      </c>
      <c r="F10" s="22">
        <f t="shared" si="0"/>
        <v>34800</v>
      </c>
      <c r="G10" s="22">
        <f>Products_Master!AL7</f>
        <v>10801.538461538461</v>
      </c>
      <c r="H10" s="22">
        <f t="shared" si="1"/>
        <v>30009.230769230766</v>
      </c>
    </row>
    <row r="11" spans="1:8" x14ac:dyDescent="0.3">
      <c r="A11" s="21" t="str">
        <f>Products_Master!A8</f>
        <v>FPGA-ECP5-45F</v>
      </c>
      <c r="B11" s="21" t="str">
        <f>Products_Master!D8</f>
        <v>ECP5 Dev Board</v>
      </c>
      <c r="C11" s="21" t="str">
        <f>Products_Master!B8</f>
        <v>FPGA Board</v>
      </c>
      <c r="D11" s="22">
        <f>Products_Master!M8</f>
        <v>7500</v>
      </c>
      <c r="E11" s="21">
        <f>Products_Master!AQ8</f>
        <v>0</v>
      </c>
      <c r="F11" s="22">
        <f t="shared" si="0"/>
        <v>0</v>
      </c>
      <c r="G11" s="22">
        <f>Products_Master!AL8</f>
        <v>13887.692307692307</v>
      </c>
      <c r="H11" s="22">
        <f t="shared" si="1"/>
        <v>0</v>
      </c>
    </row>
    <row r="12" spans="1:8" x14ac:dyDescent="0.3">
      <c r="A12" s="21" t="str">
        <f>Products_Master!A9</f>
        <v>FPGA-ECP5-85F</v>
      </c>
      <c r="B12" s="21" t="str">
        <f>Products_Master!D9</f>
        <v>ECP5 Dev Board</v>
      </c>
      <c r="C12" s="21" t="str">
        <f>Products_Master!B9</f>
        <v>FPGA Board</v>
      </c>
      <c r="D12" s="22">
        <f>Products_Master!M9</f>
        <v>9800</v>
      </c>
      <c r="E12" s="21">
        <f>Products_Master!AQ9</f>
        <v>0</v>
      </c>
      <c r="F12" s="22">
        <f t="shared" si="0"/>
        <v>0</v>
      </c>
      <c r="G12" s="22">
        <f>Products_Master!AL9</f>
        <v>18063.076923076922</v>
      </c>
      <c r="H12" s="22">
        <f t="shared" si="1"/>
        <v>0</v>
      </c>
    </row>
    <row r="13" spans="1:8" x14ac:dyDescent="0.3">
      <c r="A13" s="21" t="str">
        <f>Products_Master!A10</f>
        <v>FPGA-MAX10</v>
      </c>
      <c r="B13" s="21" t="str">
        <f>Products_Master!D10</f>
        <v>MAX10 Dev Board</v>
      </c>
      <c r="C13" s="21" t="str">
        <f>Products_Master!B10</f>
        <v>FPGA Board</v>
      </c>
      <c r="D13" s="22">
        <f>Products_Master!M10</f>
        <v>6500</v>
      </c>
      <c r="E13" s="21">
        <f>Products_Master!AQ10</f>
        <v>0</v>
      </c>
      <c r="F13" s="22">
        <f t="shared" si="0"/>
        <v>0</v>
      </c>
      <c r="G13" s="22">
        <f>Products_Master!AL10</f>
        <v>12072.307692307691</v>
      </c>
      <c r="H13" s="22">
        <f t="shared" si="1"/>
        <v>0</v>
      </c>
    </row>
    <row r="14" spans="1:8" x14ac:dyDescent="0.3">
      <c r="A14" s="21" t="str">
        <f>Products_Master!A11</f>
        <v>FPGA-CYC5GX</v>
      </c>
      <c r="B14" s="21" t="str">
        <f>Products_Master!D11</f>
        <v>Cyclone V GX Dev Board</v>
      </c>
      <c r="C14" s="21" t="str">
        <f>Products_Master!B11</f>
        <v>FPGA Board</v>
      </c>
      <c r="D14" s="22">
        <f>Products_Master!M11</f>
        <v>16500</v>
      </c>
      <c r="E14" s="21">
        <f>Products_Master!AQ11</f>
        <v>0</v>
      </c>
      <c r="F14" s="22">
        <f t="shared" si="0"/>
        <v>0</v>
      </c>
      <c r="G14" s="22">
        <f>Products_Master!AL11</f>
        <v>30226.153846153844</v>
      </c>
      <c r="H14" s="22">
        <f t="shared" si="1"/>
        <v>0</v>
      </c>
    </row>
    <row r="15" spans="1:8" x14ac:dyDescent="0.3">
      <c r="A15" s="21" t="str">
        <f>Products_Master!A12</f>
        <v>FPGA-CYC10LP</v>
      </c>
      <c r="B15" s="21" t="str">
        <f>Products_Master!D12</f>
        <v>Cyclone 10 LP Dev Board</v>
      </c>
      <c r="C15" s="21" t="str">
        <f>Products_Master!B12</f>
        <v>FPGA Board</v>
      </c>
      <c r="D15" s="22">
        <f>Products_Master!M12</f>
        <v>7200</v>
      </c>
      <c r="E15" s="21">
        <f>Products_Master!AQ12</f>
        <v>0</v>
      </c>
      <c r="F15" s="22">
        <f t="shared" si="0"/>
        <v>0</v>
      </c>
      <c r="G15" s="22">
        <f>Products_Master!AL12</f>
        <v>13343.076923076922</v>
      </c>
      <c r="H15" s="22">
        <f t="shared" si="1"/>
        <v>0</v>
      </c>
    </row>
    <row r="16" spans="1:8" x14ac:dyDescent="0.3">
      <c r="A16" s="21" t="str">
        <f>Products_Master!A13</f>
        <v>FPGA-ZU-DEV</v>
      </c>
      <c r="B16" s="21" t="str">
        <f>Products_Master!D13</f>
        <v>Zynq UltraScale+ Dev Kit</v>
      </c>
      <c r="C16" s="21" t="str">
        <f>Products_Master!B13</f>
        <v>FPGA Board</v>
      </c>
      <c r="D16" s="22">
        <f>Products_Master!M13</f>
        <v>65000</v>
      </c>
      <c r="E16" s="21">
        <f>Products_Master!AQ13</f>
        <v>0</v>
      </c>
      <c r="F16" s="22">
        <f t="shared" si="0"/>
        <v>0</v>
      </c>
      <c r="G16" s="22">
        <f>Products_Master!AL13</f>
        <v>118272.30769230769</v>
      </c>
      <c r="H16" s="22">
        <f t="shared" si="1"/>
        <v>0</v>
      </c>
    </row>
    <row r="17" spans="1:8" x14ac:dyDescent="0.3">
      <c r="A17" s="21" t="str">
        <f>Products_Master!A14</f>
        <v>SOM-ULTRA96V2</v>
      </c>
      <c r="B17" s="21" t="str">
        <f>Products_Master!D14</f>
        <v>Ultra96-V2 SOM</v>
      </c>
      <c r="C17" s="21" t="str">
        <f>Products_Master!B14</f>
        <v>SOM Module</v>
      </c>
      <c r="D17" s="22">
        <f>Products_Master!M14</f>
        <v>22000</v>
      </c>
      <c r="E17" s="21">
        <f>Products_Master!AQ14</f>
        <v>0</v>
      </c>
      <c r="F17" s="22">
        <f t="shared" si="0"/>
        <v>0</v>
      </c>
      <c r="G17" s="22">
        <f>Products_Master!AL14</f>
        <v>40210.769230769227</v>
      </c>
      <c r="H17" s="22">
        <f t="shared" si="1"/>
        <v>0</v>
      </c>
    </row>
    <row r="18" spans="1:8" x14ac:dyDescent="0.3">
      <c r="A18" s="21" t="str">
        <f>Products_Master!A15</f>
        <v>SOM-KRIA-KV260</v>
      </c>
      <c r="B18" s="21" t="str">
        <f>Products_Master!D15</f>
        <v>Kria KV260 Vision AI Starter Kit</v>
      </c>
      <c r="C18" s="21" t="str">
        <f>Products_Master!B15</f>
        <v>SOM Module</v>
      </c>
      <c r="D18" s="22">
        <f>Products_Master!M15</f>
        <v>28000</v>
      </c>
      <c r="E18" s="21">
        <f>Products_Master!AQ15</f>
        <v>0</v>
      </c>
      <c r="F18" s="22">
        <f t="shared" si="0"/>
        <v>0</v>
      </c>
      <c r="G18" s="22">
        <f>Products_Master!AL15</f>
        <v>51103.076923076922</v>
      </c>
      <c r="H18" s="22">
        <f t="shared" si="1"/>
        <v>0</v>
      </c>
    </row>
    <row r="19" spans="1:8" x14ac:dyDescent="0.3">
      <c r="A19" s="21" t="str">
        <f>Products_Master!A16</f>
        <v>SOM-ZYBO-Z7</v>
      </c>
      <c r="B19" s="21" t="str">
        <f>Products_Master!D16</f>
        <v>Zybo Z7-20</v>
      </c>
      <c r="C19" s="21" t="str">
        <f>Products_Master!B16</f>
        <v>SOM Module</v>
      </c>
      <c r="D19" s="22">
        <f>Products_Master!M16</f>
        <v>19000</v>
      </c>
      <c r="E19" s="21">
        <f>Products_Master!AQ16</f>
        <v>0</v>
      </c>
      <c r="F19" s="22">
        <f t="shared" si="0"/>
        <v>0</v>
      </c>
      <c r="G19" s="22">
        <f>Products_Master!AL16</f>
        <v>34764.615384615383</v>
      </c>
      <c r="H19" s="22">
        <f t="shared" si="1"/>
        <v>0</v>
      </c>
    </row>
    <row r="20" spans="1:8" x14ac:dyDescent="0.3">
      <c r="A20" s="21" t="str">
        <f>Products_Master!A17</f>
        <v>SOM-ARTY-A7</v>
      </c>
      <c r="B20" s="21" t="str">
        <f>Products_Master!D17</f>
        <v>Arty A7-35T</v>
      </c>
      <c r="C20" s="21" t="str">
        <f>Products_Master!B17</f>
        <v>SOM Module</v>
      </c>
      <c r="D20" s="22">
        <f>Products_Master!M17</f>
        <v>17500</v>
      </c>
      <c r="E20" s="21">
        <f>Products_Master!AQ17</f>
        <v>0</v>
      </c>
      <c r="F20" s="22">
        <f t="shared" si="0"/>
        <v>0</v>
      </c>
      <c r="G20" s="22">
        <f>Products_Master!AL17</f>
        <v>32041.538461538461</v>
      </c>
      <c r="H20" s="22">
        <f t="shared" si="1"/>
        <v>0</v>
      </c>
    </row>
    <row r="21" spans="1:8" x14ac:dyDescent="0.3">
      <c r="A21" s="21" t="str">
        <f>Products_Master!A18</f>
        <v>SOM-ZTURN</v>
      </c>
      <c r="B21" s="21" t="str">
        <f>Products_Master!D18</f>
        <v>Z-turn Board</v>
      </c>
      <c r="C21" s="21" t="str">
        <f>Products_Master!B18</f>
        <v>SOM Module</v>
      </c>
      <c r="D21" s="22">
        <f>Products_Master!M18</f>
        <v>14500</v>
      </c>
      <c r="E21" s="21">
        <f>Products_Master!AQ18</f>
        <v>0</v>
      </c>
      <c r="F21" s="22">
        <f t="shared" si="0"/>
        <v>0</v>
      </c>
      <c r="G21" s="22">
        <f>Products_Master!AL18</f>
        <v>26595.384615384613</v>
      </c>
      <c r="H21" s="22">
        <f t="shared" si="1"/>
        <v>0</v>
      </c>
    </row>
    <row r="22" spans="1:8" x14ac:dyDescent="0.3">
      <c r="A22" s="21" t="str">
        <f>Products_Master!A19</f>
        <v>SOM-TRENZ-TE</v>
      </c>
      <c r="B22" s="21" t="str">
        <f>Products_Master!D19</f>
        <v>Trenz TE Series (Zynq SOM)</v>
      </c>
      <c r="C22" s="21" t="str">
        <f>Products_Master!B19</f>
        <v>SOM Module</v>
      </c>
      <c r="D22" s="22">
        <f>Products_Master!M19</f>
        <v>16000</v>
      </c>
      <c r="E22" s="21">
        <f>Products_Master!AQ19</f>
        <v>0</v>
      </c>
      <c r="F22" s="22">
        <f t="shared" si="0"/>
        <v>0</v>
      </c>
      <c r="G22" s="22">
        <f>Products_Master!AL19</f>
        <v>29318.461538461539</v>
      </c>
      <c r="H22" s="22">
        <f t="shared" si="1"/>
        <v>0</v>
      </c>
    </row>
    <row r="23" spans="1:8" ht="43.2" x14ac:dyDescent="0.3">
      <c r="A23" s="21" t="str">
        <f>Products_Master!A20</f>
        <v>SOM-COLORLIGHT-ECP5</v>
      </c>
      <c r="B23" s="21" t="str">
        <f>Products_Master!D20</f>
        <v>Colorlight i5 ECP5 Board</v>
      </c>
      <c r="C23" s="21" t="str">
        <f>Products_Master!B20</f>
        <v>SOM Module</v>
      </c>
      <c r="D23" s="22">
        <f>Products_Master!M20</f>
        <v>6500</v>
      </c>
      <c r="E23" s="21">
        <f>Products_Master!AQ20</f>
        <v>0</v>
      </c>
      <c r="F23" s="22">
        <f t="shared" si="0"/>
        <v>0</v>
      </c>
      <c r="G23" s="22">
        <f>Products_Master!AL20</f>
        <v>12072.307692307691</v>
      </c>
      <c r="H23" s="22">
        <f t="shared" si="1"/>
        <v>0</v>
      </c>
    </row>
    <row r="24" spans="1:8" x14ac:dyDescent="0.3">
      <c r="A24" s="21" t="str">
        <f>Products_Master!A21</f>
        <v>AI-JETSON-NANO</v>
      </c>
      <c r="B24" s="21" t="str">
        <f>Products_Master!D21</f>
        <v>NVIDIA Jetson Nano Dev Kit</v>
      </c>
      <c r="C24" s="21" t="str">
        <f>Products_Master!B21</f>
        <v>AI Edge Board</v>
      </c>
      <c r="D24" s="22">
        <f>Products_Master!M21</f>
        <v>21999</v>
      </c>
      <c r="E24" s="21">
        <f>Products_Master!AQ21</f>
        <v>4</v>
      </c>
      <c r="F24" s="22">
        <f t="shared" si="0"/>
        <v>87996</v>
      </c>
      <c r="G24" s="22">
        <f>Products_Master!AL21</f>
        <v>40208.953846153847</v>
      </c>
      <c r="H24" s="22">
        <f t="shared" si="1"/>
        <v>72839.815384615387</v>
      </c>
    </row>
    <row r="25" spans="1:8" ht="28.8" x14ac:dyDescent="0.3">
      <c r="A25" s="21" t="str">
        <f>Products_Master!A22</f>
        <v>AI-JETSON-ORIN-NX</v>
      </c>
      <c r="B25" s="21" t="str">
        <f>Products_Master!D22</f>
        <v>NVIDIA Jetson Orin NX Kit</v>
      </c>
      <c r="C25" s="21" t="str">
        <f>Products_Master!B22</f>
        <v>AI Edge Board</v>
      </c>
      <c r="D25" s="22">
        <f>Products_Master!M22</f>
        <v>49999</v>
      </c>
      <c r="E25" s="21">
        <f>Products_Master!AQ22</f>
        <v>0</v>
      </c>
      <c r="F25" s="22">
        <f t="shared" si="0"/>
        <v>0</v>
      </c>
      <c r="G25" s="22">
        <f>Products_Master!AL22</f>
        <v>91039.723076923066</v>
      </c>
      <c r="H25" s="22">
        <f t="shared" si="1"/>
        <v>0</v>
      </c>
    </row>
    <row r="26" spans="1:8" ht="28.8" x14ac:dyDescent="0.3">
      <c r="A26" s="21" t="str">
        <f>Products_Master!A23</f>
        <v>AI-JETSON-ORIN-AGX</v>
      </c>
      <c r="B26" s="21" t="str">
        <f>Products_Master!D23</f>
        <v>NVIDIA Jetson Orin AGX Dev Kit</v>
      </c>
      <c r="C26" s="21" t="str">
        <f>Products_Master!B23</f>
        <v>AI Edge Board</v>
      </c>
      <c r="D26" s="22">
        <f>Products_Master!M23</f>
        <v>219999</v>
      </c>
      <c r="E26" s="21">
        <f>Products_Master!AQ23</f>
        <v>0</v>
      </c>
      <c r="F26" s="22">
        <f t="shared" si="0"/>
        <v>0</v>
      </c>
      <c r="G26" s="22">
        <f>Products_Master!AL23</f>
        <v>399655.10769230762</v>
      </c>
      <c r="H26" s="22">
        <f t="shared" si="1"/>
        <v>0</v>
      </c>
    </row>
    <row r="27" spans="1:8" x14ac:dyDescent="0.3">
      <c r="A27" s="21" t="str">
        <f>Products_Master!A24</f>
        <v>AI-CORAL-DEV</v>
      </c>
      <c r="B27" s="21" t="str">
        <f>Products_Master!D24</f>
        <v>Google Coral Dev Board</v>
      </c>
      <c r="C27" s="21" t="str">
        <f>Products_Master!B24</f>
        <v>AI Edge Board</v>
      </c>
      <c r="D27" s="22">
        <f>Products_Master!M24</f>
        <v>14535</v>
      </c>
      <c r="E27" s="21">
        <f>Products_Master!AQ24</f>
        <v>2</v>
      </c>
      <c r="F27" s="22">
        <f t="shared" si="0"/>
        <v>29070</v>
      </c>
      <c r="G27" s="22">
        <f>Products_Master!AL24</f>
        <v>26658.923076923074</v>
      </c>
      <c r="H27" s="22">
        <f t="shared" si="1"/>
        <v>24247.846153846149</v>
      </c>
    </row>
    <row r="28" spans="1:8" x14ac:dyDescent="0.3">
      <c r="A28" s="21" t="str">
        <f>Products_Master!A25</f>
        <v>AI-RK3588</v>
      </c>
      <c r="B28" s="21" t="str">
        <f>Products_Master!D25</f>
        <v>Rockchip RK3588 Dev Board</v>
      </c>
      <c r="C28" s="21" t="str">
        <f>Products_Master!B25</f>
        <v>AI Edge Board</v>
      </c>
      <c r="D28" s="22">
        <f>Products_Master!M25</f>
        <v>9200</v>
      </c>
      <c r="E28" s="21">
        <f>Products_Master!AQ25</f>
        <v>0</v>
      </c>
      <c r="F28" s="22">
        <f t="shared" si="0"/>
        <v>0</v>
      </c>
      <c r="G28" s="22">
        <f>Products_Master!AL25</f>
        <v>16973.846153846152</v>
      </c>
      <c r="H28" s="22">
        <f t="shared" si="1"/>
        <v>0</v>
      </c>
    </row>
    <row r="29" spans="1:8" x14ac:dyDescent="0.3">
      <c r="A29" s="21" t="str">
        <f>Products_Master!A26</f>
        <v>AI-K210</v>
      </c>
      <c r="B29" s="21" t="str">
        <f>Products_Master!D26</f>
        <v>Kendryte K210 RISC-V AI Board</v>
      </c>
      <c r="C29" s="21" t="str">
        <f>Products_Master!B26</f>
        <v>AI Edge Board</v>
      </c>
      <c r="D29" s="22">
        <f>Products_Master!M26</f>
        <v>1500</v>
      </c>
      <c r="E29" s="21">
        <f>Products_Master!AQ26</f>
        <v>5</v>
      </c>
      <c r="F29" s="22">
        <f t="shared" si="0"/>
        <v>7500</v>
      </c>
      <c r="G29" s="22">
        <f>Products_Master!AL26</f>
        <v>2995.3846153846152</v>
      </c>
      <c r="H29" s="22">
        <f t="shared" si="1"/>
        <v>7476.9230769230762</v>
      </c>
    </row>
    <row r="30" spans="1:8" x14ac:dyDescent="0.3">
      <c r="A30" s="21" t="str">
        <f>Products_Master!A27</f>
        <v>PMOD-GPIO</v>
      </c>
      <c r="B30" s="21" t="str">
        <f>Products_Master!D27</f>
        <v>PMOD GPIO</v>
      </c>
      <c r="C30" s="21" t="str">
        <f>Products_Master!B27</f>
        <v>PMOD Module</v>
      </c>
      <c r="D30" s="22">
        <f>Products_Master!M27</f>
        <v>180</v>
      </c>
      <c r="E30" s="21">
        <f>Products_Master!AQ27</f>
        <v>15</v>
      </c>
      <c r="F30" s="22">
        <f t="shared" si="0"/>
        <v>2700</v>
      </c>
      <c r="G30" s="22">
        <f>Products_Master!AL27</f>
        <v>599.07692307692298</v>
      </c>
      <c r="H30" s="22">
        <f t="shared" si="1"/>
        <v>6286.1538461538448</v>
      </c>
    </row>
    <row r="31" spans="1:8" x14ac:dyDescent="0.3">
      <c r="A31" s="21" t="str">
        <f>Products_Master!A28</f>
        <v>PMOD-OLED</v>
      </c>
      <c r="B31" s="21" t="str">
        <f>Products_Master!D28</f>
        <v>PMOD OLED Display</v>
      </c>
      <c r="C31" s="21" t="str">
        <f>Products_Master!B28</f>
        <v>PMOD Module</v>
      </c>
      <c r="D31" s="22">
        <f>Products_Master!M28</f>
        <v>700</v>
      </c>
      <c r="E31" s="21">
        <f>Products_Master!AQ28</f>
        <v>6</v>
      </c>
      <c r="F31" s="22">
        <f t="shared" si="0"/>
        <v>4200</v>
      </c>
      <c r="G31" s="22">
        <f>Products_Master!AL28</f>
        <v>1543.0769230769231</v>
      </c>
      <c r="H31" s="22">
        <f t="shared" si="1"/>
        <v>5058.461538461539</v>
      </c>
    </row>
    <row r="32" spans="1:8" ht="28.8" x14ac:dyDescent="0.3">
      <c r="A32" s="21" t="str">
        <f>Products_Master!A29</f>
        <v>PMOD-CAM-OV5640</v>
      </c>
      <c r="B32" s="21" t="str">
        <f>Products_Master!D29</f>
        <v>PMOD Camera OV5640</v>
      </c>
      <c r="C32" s="21" t="str">
        <f>Products_Master!B29</f>
        <v>PMOD Module</v>
      </c>
      <c r="D32" s="22">
        <f>Products_Master!M29</f>
        <v>850</v>
      </c>
      <c r="E32" s="21">
        <f>Products_Master!AQ29</f>
        <v>6</v>
      </c>
      <c r="F32" s="22">
        <f t="shared" si="0"/>
        <v>5100</v>
      </c>
      <c r="G32" s="22">
        <f>Products_Master!AL29</f>
        <v>1815.3846153846152</v>
      </c>
      <c r="H32" s="22">
        <f t="shared" si="1"/>
        <v>5792.3076923076915</v>
      </c>
    </row>
    <row r="33" spans="1:8" x14ac:dyDescent="0.3">
      <c r="A33" s="21" t="str">
        <f>Products_Master!A30</f>
        <v>PMOD-ADC</v>
      </c>
      <c r="B33" s="21" t="str">
        <f>Products_Master!D30</f>
        <v>PMOD ADC</v>
      </c>
      <c r="C33" s="21" t="str">
        <f>Products_Master!B30</f>
        <v>PMOD Module</v>
      </c>
      <c r="D33" s="22">
        <f>Products_Master!M30</f>
        <v>350</v>
      </c>
      <c r="E33" s="21">
        <f>Products_Master!AQ30</f>
        <v>10</v>
      </c>
      <c r="F33" s="22">
        <f t="shared" si="0"/>
        <v>3500</v>
      </c>
      <c r="G33" s="22">
        <f>Products_Master!AL30</f>
        <v>907.69230769230762</v>
      </c>
      <c r="H33" s="22">
        <f t="shared" si="1"/>
        <v>5576.9230769230762</v>
      </c>
    </row>
    <row r="34" spans="1:8" x14ac:dyDescent="0.3">
      <c r="A34" s="21" t="str">
        <f>Products_Master!A31</f>
        <v>PMOD-WIFI</v>
      </c>
      <c r="B34" s="21" t="str">
        <f>Products_Master!D31</f>
        <v>PMOD WiFi/Bluetooth</v>
      </c>
      <c r="C34" s="21" t="str">
        <f>Products_Master!B31</f>
        <v>PMOD Module</v>
      </c>
      <c r="D34" s="22">
        <f>Products_Master!M31</f>
        <v>550</v>
      </c>
      <c r="E34" s="21">
        <f>Products_Master!AQ31</f>
        <v>8</v>
      </c>
      <c r="F34" s="22">
        <f t="shared" si="0"/>
        <v>4400</v>
      </c>
      <c r="G34" s="22">
        <f>Products_Master!AL31</f>
        <v>1270.7692307692307</v>
      </c>
      <c r="H34" s="22">
        <f t="shared" si="1"/>
        <v>5766.1538461538457</v>
      </c>
    </row>
    <row r="35" spans="1:8" x14ac:dyDescent="0.3">
      <c r="A35" s="21" t="str">
        <f>Products_Master!A32</f>
        <v>PMOD-ETH</v>
      </c>
      <c r="B35" s="21" t="str">
        <f>Products_Master!D32</f>
        <v>PMOD Ethernet</v>
      </c>
      <c r="C35" s="21" t="str">
        <f>Products_Master!B32</f>
        <v>PMOD Module</v>
      </c>
      <c r="D35" s="22">
        <f>Products_Master!M32</f>
        <v>950</v>
      </c>
      <c r="E35" s="21">
        <f>Products_Master!AQ32</f>
        <v>6</v>
      </c>
      <c r="F35" s="22">
        <f t="shared" si="0"/>
        <v>5700</v>
      </c>
      <c r="G35" s="22">
        <f>Products_Master!AL32</f>
        <v>1996.9230769230769</v>
      </c>
      <c r="H35" s="22">
        <f t="shared" si="1"/>
        <v>6281.538461538461</v>
      </c>
    </row>
    <row r="36" spans="1:8" x14ac:dyDescent="0.3">
      <c r="A36" s="21" t="str">
        <f>Products_Master!A33</f>
        <v>CAM-IMX219</v>
      </c>
      <c r="B36" s="21" t="str">
        <f>Products_Master!D33</f>
        <v>Sony IMX219 MIPI Camera</v>
      </c>
      <c r="C36" s="21" t="str">
        <f>Products_Master!B33</f>
        <v>Camera</v>
      </c>
      <c r="D36" s="22">
        <f>Products_Master!M33</f>
        <v>1649</v>
      </c>
      <c r="E36" s="21">
        <f>Products_Master!AQ33</f>
        <v>6</v>
      </c>
      <c r="F36" s="22">
        <f t="shared" si="0"/>
        <v>9894</v>
      </c>
      <c r="G36" s="22">
        <f>Products_Master!AL33</f>
        <v>3265.8769230769226</v>
      </c>
      <c r="H36" s="22">
        <f t="shared" si="1"/>
        <v>9701.2615384615347</v>
      </c>
    </row>
    <row r="37" spans="1:8" x14ac:dyDescent="0.3">
      <c r="A37" s="21" t="str">
        <f>Products_Master!A34</f>
        <v>CAM-IMX477</v>
      </c>
      <c r="B37" s="21" t="str">
        <f>Products_Master!D34</f>
        <v>Sony IMX477 HQ Camera</v>
      </c>
      <c r="C37" s="21" t="str">
        <f>Products_Master!B34</f>
        <v>Camera</v>
      </c>
      <c r="D37" s="22">
        <f>Products_Master!M34</f>
        <v>6999</v>
      </c>
      <c r="E37" s="21">
        <f>Products_Master!AQ34</f>
        <v>3</v>
      </c>
      <c r="F37" s="22">
        <f t="shared" ref="F37:F68" si="2">D37*E37</f>
        <v>20997</v>
      </c>
      <c r="G37" s="22">
        <f>Products_Master!AL34</f>
        <v>12978.184615384615</v>
      </c>
      <c r="H37" s="22">
        <f t="shared" ref="H37:H68" si="3">(G37-D37)*E37</f>
        <v>17937.553846153845</v>
      </c>
    </row>
    <row r="38" spans="1:8" x14ac:dyDescent="0.3">
      <c r="A38" s="21" t="str">
        <f>Products_Master!A35</f>
        <v>CAM-OV5647</v>
      </c>
      <c r="B38" s="21" t="str">
        <f>Products_Master!D35</f>
        <v>MIPI CSI-2 Camera (OV5647)</v>
      </c>
      <c r="C38" s="21" t="str">
        <f>Products_Master!B35</f>
        <v>Camera</v>
      </c>
      <c r="D38" s="22">
        <f>Products_Master!M35</f>
        <v>550</v>
      </c>
      <c r="E38" s="21">
        <f>Products_Master!AQ35</f>
        <v>6</v>
      </c>
      <c r="F38" s="22">
        <f t="shared" si="2"/>
        <v>3300</v>
      </c>
      <c r="G38" s="22">
        <f>Products_Master!AL35</f>
        <v>1270.7692307692307</v>
      </c>
      <c r="H38" s="22">
        <f t="shared" si="3"/>
        <v>4324.6153846153848</v>
      </c>
    </row>
    <row r="39" spans="1:8" x14ac:dyDescent="0.3">
      <c r="A39" s="21" t="str">
        <f>Products_Master!A36</f>
        <v>CAM-OV7670</v>
      </c>
      <c r="B39" s="21" t="str">
        <f>Products_Master!D36</f>
        <v>DVP Camera OV7670</v>
      </c>
      <c r="C39" s="21" t="str">
        <f>Products_Master!B36</f>
        <v>Camera</v>
      </c>
      <c r="D39" s="22">
        <f>Products_Master!M36</f>
        <v>120</v>
      </c>
      <c r="E39" s="21">
        <f>Products_Master!AQ36</f>
        <v>0</v>
      </c>
      <c r="F39" s="22">
        <f t="shared" si="2"/>
        <v>0</v>
      </c>
      <c r="G39" s="22">
        <f>Products_Master!AL36</f>
        <v>490.15384615384608</v>
      </c>
      <c r="H39" s="22">
        <f t="shared" si="3"/>
        <v>0</v>
      </c>
    </row>
    <row r="40" spans="1:8" x14ac:dyDescent="0.3">
      <c r="A40" s="21" t="str">
        <f>Products_Master!A37</f>
        <v>CAM-MLX90640</v>
      </c>
      <c r="B40" s="21" t="str">
        <f>Products_Master!D37</f>
        <v>Thermal Array MLX90640 Module</v>
      </c>
      <c r="C40" s="21" t="str">
        <f>Products_Master!B37</f>
        <v>Camera</v>
      </c>
      <c r="D40" s="22">
        <f>Products_Master!M37</f>
        <v>6180</v>
      </c>
      <c r="E40" s="21">
        <f>Products_Master!AQ37</f>
        <v>0</v>
      </c>
      <c r="F40" s="22">
        <f t="shared" si="2"/>
        <v>0</v>
      </c>
      <c r="G40" s="22">
        <f>Products_Master!AL37</f>
        <v>11491.384615384615</v>
      </c>
      <c r="H40" s="22">
        <f t="shared" si="3"/>
        <v>0</v>
      </c>
    </row>
    <row r="41" spans="1:8" x14ac:dyDescent="0.3">
      <c r="A41" s="21" t="str">
        <f>Products_Master!A38</f>
        <v>SENS-MPU6050</v>
      </c>
      <c r="B41" s="21" t="str">
        <f>Products_Master!D38</f>
        <v>IMU MPU6050 Module</v>
      </c>
      <c r="C41" s="21" t="str">
        <f>Products_Master!B38</f>
        <v>Sensor</v>
      </c>
      <c r="D41" s="22">
        <f>Products_Master!M38</f>
        <v>165</v>
      </c>
      <c r="E41" s="21">
        <f>Products_Master!AQ38</f>
        <v>30</v>
      </c>
      <c r="F41" s="22">
        <f t="shared" si="2"/>
        <v>4950</v>
      </c>
      <c r="G41" s="22">
        <f>Products_Master!AL38</f>
        <v>571.84615384615381</v>
      </c>
      <c r="H41" s="22">
        <f t="shared" si="3"/>
        <v>12205.384615384613</v>
      </c>
    </row>
    <row r="42" spans="1:8" x14ac:dyDescent="0.3">
      <c r="A42" s="21" t="str">
        <f>Products_Master!A39</f>
        <v>SENS-ICM20948</v>
      </c>
      <c r="B42" s="21" t="str">
        <f>Products_Master!D39</f>
        <v>IMU ICM20948 9-axis Module</v>
      </c>
      <c r="C42" s="21" t="str">
        <f>Products_Master!B39</f>
        <v>Sensor</v>
      </c>
      <c r="D42" s="22">
        <f>Products_Master!M39</f>
        <v>2459</v>
      </c>
      <c r="E42" s="21">
        <f>Products_Master!AQ39</f>
        <v>10</v>
      </c>
      <c r="F42" s="22">
        <f t="shared" si="2"/>
        <v>24590</v>
      </c>
      <c r="G42" s="22">
        <f>Products_Master!AL39</f>
        <v>4736.3384615384612</v>
      </c>
      <c r="H42" s="22">
        <f t="shared" si="3"/>
        <v>22773.38461538461</v>
      </c>
    </row>
    <row r="43" spans="1:8" x14ac:dyDescent="0.3">
      <c r="A43" s="21" t="str">
        <f>Products_Master!A40</f>
        <v>SENS-VL53L1X</v>
      </c>
      <c r="B43" s="21" t="str">
        <f>Products_Master!D40</f>
        <v>ToF Sensor VL53L1X Module</v>
      </c>
      <c r="C43" s="21" t="str">
        <f>Products_Master!B40</f>
        <v>Sensor</v>
      </c>
      <c r="D43" s="22">
        <f>Products_Master!M40</f>
        <v>1506</v>
      </c>
      <c r="E43" s="21">
        <f>Products_Master!AQ40</f>
        <v>6</v>
      </c>
      <c r="F43" s="22">
        <f t="shared" si="2"/>
        <v>9036</v>
      </c>
      <c r="G43" s="22">
        <f>Products_Master!AL40</f>
        <v>3006.2769230769227</v>
      </c>
      <c r="H43" s="22">
        <f t="shared" si="3"/>
        <v>9001.6615384615361</v>
      </c>
    </row>
    <row r="44" spans="1:8" x14ac:dyDescent="0.3">
      <c r="A44" s="21" t="str">
        <f>Products_Master!A41</f>
        <v>SENS-RPLIDAR-A1</v>
      </c>
      <c r="B44" s="21" t="str">
        <f>Products_Master!D41</f>
        <v>LiDAR Module RPLIDAR A1</v>
      </c>
      <c r="C44" s="21" t="str">
        <f>Products_Master!B41</f>
        <v>Sensor</v>
      </c>
      <c r="D44" s="22">
        <f>Products_Master!M41</f>
        <v>7926</v>
      </c>
      <c r="E44" s="21">
        <f>Products_Master!AQ41</f>
        <v>2</v>
      </c>
      <c r="F44" s="22">
        <f t="shared" si="2"/>
        <v>15852</v>
      </c>
      <c r="G44" s="22">
        <f>Products_Master!AL41</f>
        <v>14661.046153846153</v>
      </c>
      <c r="H44" s="22">
        <f t="shared" si="3"/>
        <v>13470.092307692306</v>
      </c>
    </row>
    <row r="45" spans="1:8" x14ac:dyDescent="0.3">
      <c r="A45" s="21" t="str">
        <f>Products_Master!A42</f>
        <v>SENS-GPS-NEO6M</v>
      </c>
      <c r="B45" s="21" t="str">
        <f>Products_Master!D42</f>
        <v>GPS Module NEO-6M</v>
      </c>
      <c r="C45" s="21" t="str">
        <f>Products_Master!B42</f>
        <v>Sensor</v>
      </c>
      <c r="D45" s="22">
        <f>Products_Master!M42</f>
        <v>239</v>
      </c>
      <c r="E45" s="21">
        <f>Products_Master!AQ42</f>
        <v>6</v>
      </c>
      <c r="F45" s="22">
        <f t="shared" si="2"/>
        <v>1434</v>
      </c>
      <c r="G45" s="22">
        <f>Products_Master!AL42</f>
        <v>706.18461538461531</v>
      </c>
      <c r="H45" s="22">
        <f t="shared" si="3"/>
        <v>2803.1076923076917</v>
      </c>
    </row>
    <row r="46" spans="1:8" x14ac:dyDescent="0.3">
      <c r="A46" s="21" t="str">
        <f>Products_Master!A43</f>
        <v>SENS-BMP280</v>
      </c>
      <c r="B46" s="21" t="str">
        <f>Products_Master!D43</f>
        <v>Pressure Sensor BMP280</v>
      </c>
      <c r="C46" s="21" t="str">
        <f>Products_Master!B43</f>
        <v>Sensor</v>
      </c>
      <c r="D46" s="22">
        <f>Products_Master!M43</f>
        <v>29</v>
      </c>
      <c r="E46" s="21">
        <f>Products_Master!AQ43</f>
        <v>0</v>
      </c>
      <c r="F46" s="22">
        <f t="shared" si="2"/>
        <v>0</v>
      </c>
      <c r="G46" s="22">
        <f>Products_Master!AL43</f>
        <v>324.95384615384614</v>
      </c>
      <c r="H46" s="22">
        <f t="shared" si="3"/>
        <v>0</v>
      </c>
    </row>
    <row r="47" spans="1:8" x14ac:dyDescent="0.3">
      <c r="A47" s="21" t="str">
        <f>Products_Master!A44</f>
        <v>SENS-HCSR04</v>
      </c>
      <c r="B47" s="21" t="str">
        <f>Products_Master!D44</f>
        <v>Ultrasonic HC-SR04</v>
      </c>
      <c r="C47" s="21" t="str">
        <f>Products_Master!B44</f>
        <v>Sensor</v>
      </c>
      <c r="D47" s="22">
        <f>Products_Master!M44</f>
        <v>59</v>
      </c>
      <c r="E47" s="21">
        <f>Products_Master!AQ44</f>
        <v>20</v>
      </c>
      <c r="F47" s="22">
        <f t="shared" si="2"/>
        <v>1180</v>
      </c>
      <c r="G47" s="22">
        <f>Products_Master!AL44</f>
        <v>379.41538461538454</v>
      </c>
      <c r="H47" s="22">
        <f t="shared" si="3"/>
        <v>6408.3076923076906</v>
      </c>
    </row>
    <row r="48" spans="1:8" x14ac:dyDescent="0.3">
      <c r="A48" s="21" t="str">
        <f>Products_Master!A45</f>
        <v>MCU-ESP32</v>
      </c>
      <c r="B48" s="21" t="str">
        <f>Products_Master!D45</f>
        <v>ESP32 DevKit</v>
      </c>
      <c r="C48" s="21" t="str">
        <f>Products_Master!B45</f>
        <v>Microcontroller</v>
      </c>
      <c r="D48" s="22">
        <f>Products_Master!M45</f>
        <v>339</v>
      </c>
      <c r="E48" s="21">
        <f>Products_Master!AQ45</f>
        <v>20</v>
      </c>
      <c r="F48" s="22">
        <f t="shared" si="2"/>
        <v>6780</v>
      </c>
      <c r="G48" s="22">
        <f>Products_Master!AL45</f>
        <v>887.72307692307686</v>
      </c>
      <c r="H48" s="22">
        <f t="shared" si="3"/>
        <v>10974.461538461537</v>
      </c>
    </row>
    <row r="49" spans="1:8" x14ac:dyDescent="0.3">
      <c r="A49" s="21" t="str">
        <f>Products_Master!A46</f>
        <v>MCU-STM32F401</v>
      </c>
      <c r="B49" s="21" t="str">
        <f>Products_Master!D46</f>
        <v>STM32F401 Dev Board</v>
      </c>
      <c r="C49" s="21" t="str">
        <f>Products_Master!B46</f>
        <v>Microcontroller</v>
      </c>
      <c r="D49" s="22">
        <f>Products_Master!M46</f>
        <v>284</v>
      </c>
      <c r="E49" s="21">
        <f>Products_Master!AQ46</f>
        <v>10</v>
      </c>
      <c r="F49" s="22">
        <f t="shared" si="2"/>
        <v>2840</v>
      </c>
      <c r="G49" s="22">
        <f>Products_Master!AL46</f>
        <v>787.87692307692305</v>
      </c>
      <c r="H49" s="22">
        <f t="shared" si="3"/>
        <v>5038.7692307692305</v>
      </c>
    </row>
    <row r="50" spans="1:8" ht="28.8" customHeight="1" x14ac:dyDescent="0.3">
      <c r="A50" s="21" t="str">
        <f>Products_Master!A47</f>
        <v>MCU-RP2040-PICO</v>
      </c>
      <c r="B50" s="21" t="str">
        <f>Products_Master!D47</f>
        <v>Raspberry Pi Pico</v>
      </c>
      <c r="C50" s="21" t="str">
        <f>Products_Master!B47</f>
        <v>Microcontroller</v>
      </c>
      <c r="D50" s="22">
        <f>Products_Master!M47</f>
        <v>359</v>
      </c>
      <c r="E50" s="21">
        <f>Products_Master!AQ47</f>
        <v>10</v>
      </c>
      <c r="F50" s="22">
        <f t="shared" si="2"/>
        <v>3590</v>
      </c>
      <c r="G50" s="22">
        <f>Products_Master!AL47</f>
        <v>924.03076923076924</v>
      </c>
      <c r="H50" s="22">
        <f t="shared" si="3"/>
        <v>5650.3076923076924</v>
      </c>
    </row>
    <row r="51" spans="1:8" ht="28.8" customHeight="1" x14ac:dyDescent="0.3">
      <c r="A51" s="21" t="str">
        <f>Products_Master!A48</f>
        <v>MCU-ARD-UNO-R4</v>
      </c>
      <c r="B51" s="21" t="str">
        <f>Products_Master!D48</f>
        <v>Arduino UNO R4</v>
      </c>
      <c r="C51" s="21" t="str">
        <f>Products_Master!B48</f>
        <v>Microcontroller</v>
      </c>
      <c r="D51" s="22">
        <f>Products_Master!M48</f>
        <v>699</v>
      </c>
      <c r="E51" s="21">
        <f>Products_Master!AQ48</f>
        <v>0</v>
      </c>
      <c r="F51" s="22">
        <f t="shared" si="2"/>
        <v>0</v>
      </c>
      <c r="G51" s="22">
        <f>Products_Master!AL48</f>
        <v>1541.2615384615383</v>
      </c>
      <c r="H51" s="22">
        <f t="shared" si="3"/>
        <v>0</v>
      </c>
    </row>
    <row r="52" spans="1:8" ht="28.8" customHeight="1" x14ac:dyDescent="0.3">
      <c r="A52" s="21" t="str">
        <f>Products_Master!A49</f>
        <v>MCU-ARD-NANO-EVERY</v>
      </c>
      <c r="B52" s="21" t="str">
        <f>Products_Master!D49</f>
        <v>Arduino Nano Every</v>
      </c>
      <c r="C52" s="21" t="str">
        <f>Products_Master!B49</f>
        <v>Microcontroller</v>
      </c>
      <c r="D52" s="22">
        <f>Products_Master!M49</f>
        <v>700</v>
      </c>
      <c r="E52" s="21">
        <f>Products_Master!AQ49</f>
        <v>0</v>
      </c>
      <c r="F52" s="22">
        <f t="shared" si="2"/>
        <v>0</v>
      </c>
      <c r="G52" s="22">
        <f>Products_Master!AL49</f>
        <v>1543.0769230769231</v>
      </c>
      <c r="H52" s="22">
        <f t="shared" si="3"/>
        <v>0</v>
      </c>
    </row>
    <row r="53" spans="1:8" x14ac:dyDescent="0.3">
      <c r="A53" s="21" t="str">
        <f>Products_Master!A50</f>
        <v>CONN-CP2102</v>
      </c>
      <c r="B53" s="21" t="str">
        <f>Products_Master!D50</f>
        <v>USB-UART CP2102 Module</v>
      </c>
      <c r="C53" s="21" t="str">
        <f>Products_Master!B50</f>
        <v>Connectivity</v>
      </c>
      <c r="D53" s="22">
        <f>Products_Master!M50</f>
        <v>107</v>
      </c>
      <c r="E53" s="21">
        <f>Products_Master!AQ50</f>
        <v>30</v>
      </c>
      <c r="F53" s="22">
        <f t="shared" si="2"/>
        <v>3210</v>
      </c>
      <c r="G53" s="22">
        <f>Products_Master!AL50</f>
        <v>466.55384615384611</v>
      </c>
      <c r="H53" s="22">
        <f t="shared" si="3"/>
        <v>10786.615384615383</v>
      </c>
    </row>
    <row r="54" spans="1:8" x14ac:dyDescent="0.3">
      <c r="A54" s="21" t="str">
        <f>Products_Master!A51</f>
        <v>CONN-FT232</v>
      </c>
      <c r="B54" s="21" t="str">
        <f>Products_Master!D51</f>
        <v>USB-UART FT232RL Module</v>
      </c>
      <c r="C54" s="21" t="str">
        <f>Products_Master!B51</f>
        <v>Connectivity</v>
      </c>
      <c r="D54" s="22">
        <f>Products_Master!M51</f>
        <v>220</v>
      </c>
      <c r="E54" s="21">
        <f>Products_Master!AQ51</f>
        <v>10</v>
      </c>
      <c r="F54" s="22">
        <f t="shared" si="2"/>
        <v>2200</v>
      </c>
      <c r="G54" s="22">
        <f>Products_Master!AL51</f>
        <v>671.69230769230762</v>
      </c>
      <c r="H54" s="22">
        <f t="shared" si="3"/>
        <v>4516.9230769230762</v>
      </c>
    </row>
    <row r="55" spans="1:8" x14ac:dyDescent="0.3">
      <c r="A55" s="21" t="str">
        <f>Products_Master!A52</f>
        <v>CONN-FT4232H</v>
      </c>
      <c r="B55" s="21" t="str">
        <f>Products_Master!D52</f>
        <v>USB-JTAG FT4232H</v>
      </c>
      <c r="C55" s="21" t="str">
        <f>Products_Master!B52</f>
        <v>Connectivity</v>
      </c>
      <c r="D55" s="22">
        <f>Products_Master!M52</f>
        <v>550</v>
      </c>
      <c r="E55" s="21">
        <f>Products_Master!AQ52</f>
        <v>6</v>
      </c>
      <c r="F55" s="22">
        <f t="shared" si="2"/>
        <v>3300</v>
      </c>
      <c r="G55" s="22">
        <f>Products_Master!AL52</f>
        <v>1270.7692307692307</v>
      </c>
      <c r="H55" s="22">
        <f t="shared" si="3"/>
        <v>4324.6153846153848</v>
      </c>
    </row>
    <row r="56" spans="1:8" x14ac:dyDescent="0.3">
      <c r="A56" s="21" t="str">
        <f>Products_Master!A53</f>
        <v>CONN-LAN8720</v>
      </c>
      <c r="B56" s="21" t="str">
        <f>Products_Master!D53</f>
        <v>Ethernet PHY Module LAN8720</v>
      </c>
      <c r="C56" s="21" t="str">
        <f>Products_Master!B53</f>
        <v>Connectivity</v>
      </c>
      <c r="D56" s="22">
        <f>Products_Master!M53</f>
        <v>120</v>
      </c>
      <c r="E56" s="21">
        <f>Products_Master!AQ53</f>
        <v>0</v>
      </c>
      <c r="F56" s="22">
        <f t="shared" si="2"/>
        <v>0</v>
      </c>
      <c r="G56" s="22">
        <f>Products_Master!AL53</f>
        <v>490.15384615384608</v>
      </c>
      <c r="H56" s="22">
        <f t="shared" si="3"/>
        <v>0</v>
      </c>
    </row>
    <row r="57" spans="1:8" x14ac:dyDescent="0.3">
      <c r="A57" s="21" t="str">
        <f>Products_Master!A54</f>
        <v>CONN-FE1-1S</v>
      </c>
      <c r="B57" s="21" t="str">
        <f>Products_Master!D54</f>
        <v>USB Hub Module FE1.1s</v>
      </c>
      <c r="C57" s="21" t="str">
        <f>Products_Master!B54</f>
        <v>Connectivity</v>
      </c>
      <c r="D57" s="22">
        <f>Products_Master!M54</f>
        <v>180</v>
      </c>
      <c r="E57" s="21">
        <f>Products_Master!AQ54</f>
        <v>0</v>
      </c>
      <c r="F57" s="22">
        <f t="shared" si="2"/>
        <v>0</v>
      </c>
      <c r="G57" s="22">
        <f>Products_Master!AL54</f>
        <v>599.07692307692298</v>
      </c>
      <c r="H57" s="22">
        <f t="shared" si="3"/>
        <v>0</v>
      </c>
    </row>
    <row r="58" spans="1:8" x14ac:dyDescent="0.3">
      <c r="A58" s="21" t="str">
        <f>Products_Master!A55</f>
        <v>MEM-W25Q128</v>
      </c>
      <c r="B58" s="21" t="str">
        <f>Products_Master!D55</f>
        <v>QSPI NOR Flash 128Mbit</v>
      </c>
      <c r="C58" s="21" t="str">
        <f>Products_Master!B55</f>
        <v>Memory</v>
      </c>
      <c r="D58" s="22">
        <f>Products_Master!M55</f>
        <v>161</v>
      </c>
      <c r="E58" s="21">
        <f>Products_Master!AQ55</f>
        <v>50</v>
      </c>
      <c r="F58" s="22">
        <f t="shared" si="2"/>
        <v>8050</v>
      </c>
      <c r="G58" s="22">
        <f>Products_Master!AL55</f>
        <v>564.58461538461529</v>
      </c>
      <c r="H58" s="22">
        <f t="shared" si="3"/>
        <v>20179.230769230766</v>
      </c>
    </row>
    <row r="59" spans="1:8" x14ac:dyDescent="0.3">
      <c r="A59" s="21" t="str">
        <f>Products_Master!A56</f>
        <v>MEM-DDR3-512</v>
      </c>
      <c r="B59" s="21" t="str">
        <f>Products_Master!D56</f>
        <v>DDR3 SDRAM 512MB (x16)</v>
      </c>
      <c r="C59" s="21" t="str">
        <f>Products_Master!B56</f>
        <v>Memory</v>
      </c>
      <c r="D59" s="22">
        <f>Products_Master!M56</f>
        <v>650</v>
      </c>
      <c r="E59" s="21">
        <f>Products_Master!AQ56</f>
        <v>0</v>
      </c>
      <c r="F59" s="22">
        <f t="shared" si="2"/>
        <v>0</v>
      </c>
      <c r="G59" s="22">
        <f>Products_Master!AL56</f>
        <v>1452.3076923076922</v>
      </c>
      <c r="H59" s="22">
        <f t="shared" si="3"/>
        <v>0</v>
      </c>
    </row>
    <row r="60" spans="1:8" x14ac:dyDescent="0.3">
      <c r="A60" s="21" t="str">
        <f>Products_Master!A57</f>
        <v>MEM-EMMC-32</v>
      </c>
      <c r="B60" s="21" t="str">
        <f>Products_Master!D57</f>
        <v>eMMC 32GB Module</v>
      </c>
      <c r="C60" s="21" t="str">
        <f>Products_Master!B57</f>
        <v>Memory</v>
      </c>
      <c r="D60" s="22">
        <f>Products_Master!M57</f>
        <v>450</v>
      </c>
      <c r="E60" s="21">
        <f>Products_Master!AQ57</f>
        <v>0</v>
      </c>
      <c r="F60" s="22">
        <f t="shared" si="2"/>
        <v>0</v>
      </c>
      <c r="G60" s="22">
        <f>Products_Master!AL57</f>
        <v>1089.2307692307693</v>
      </c>
      <c r="H60" s="22">
        <f t="shared" si="3"/>
        <v>0</v>
      </c>
    </row>
    <row r="61" spans="1:8" ht="28.8" customHeight="1" x14ac:dyDescent="0.3">
      <c r="A61" s="21" t="str">
        <f>Products_Master!A58</f>
        <v>MEM-MICROSD-32</v>
      </c>
      <c r="B61" s="21" t="str">
        <f>Products_Master!D58</f>
        <v>microSD Card 32GB</v>
      </c>
      <c r="C61" s="21" t="str">
        <f>Products_Master!B58</f>
        <v>Memory</v>
      </c>
      <c r="D61" s="22">
        <f>Products_Master!M58</f>
        <v>719</v>
      </c>
      <c r="E61" s="21">
        <f>Products_Master!AQ58</f>
        <v>20</v>
      </c>
      <c r="F61" s="22">
        <f t="shared" si="2"/>
        <v>14380</v>
      </c>
      <c r="G61" s="22">
        <f>Products_Master!AL58</f>
        <v>1577.5692307692304</v>
      </c>
      <c r="H61" s="22">
        <f t="shared" si="3"/>
        <v>17171.38461538461</v>
      </c>
    </row>
    <row r="62" spans="1:8" x14ac:dyDescent="0.3">
      <c r="A62" s="21" t="str">
        <f>Products_Master!A59</f>
        <v>PWR-MP2459</v>
      </c>
      <c r="B62" s="21" t="str">
        <f>Products_Master!D59</f>
        <v>Buck Converter Module MP2459</v>
      </c>
      <c r="C62" s="21" t="str">
        <f>Products_Master!B59</f>
        <v>Power</v>
      </c>
      <c r="D62" s="22">
        <f>Products_Master!M59</f>
        <v>18</v>
      </c>
      <c r="E62" s="21">
        <f>Products_Master!AQ59</f>
        <v>50</v>
      </c>
      <c r="F62" s="22">
        <f t="shared" si="2"/>
        <v>900</v>
      </c>
      <c r="G62" s="22">
        <f>Products_Master!AL59</f>
        <v>304.98461538461532</v>
      </c>
      <c r="H62" s="22">
        <f t="shared" si="3"/>
        <v>14349.230769230766</v>
      </c>
    </row>
    <row r="63" spans="1:8" x14ac:dyDescent="0.3">
      <c r="A63" s="21" t="str">
        <f>Products_Master!A60</f>
        <v>PWR-AMS1117</v>
      </c>
      <c r="B63" s="21" t="str">
        <f>Products_Master!D60</f>
        <v>LDO Regulator AMS1117</v>
      </c>
      <c r="C63" s="21" t="str">
        <f>Products_Master!B60</f>
        <v>Power</v>
      </c>
      <c r="D63" s="22">
        <f>Products_Master!M60</f>
        <v>13</v>
      </c>
      <c r="E63" s="21">
        <f>Products_Master!AQ60</f>
        <v>50</v>
      </c>
      <c r="F63" s="22">
        <f t="shared" si="2"/>
        <v>650</v>
      </c>
      <c r="G63" s="22">
        <f>Products_Master!AL60</f>
        <v>295.90769230769229</v>
      </c>
      <c r="H63" s="22">
        <f t="shared" si="3"/>
        <v>14145.384615384613</v>
      </c>
    </row>
    <row r="64" spans="1:8" x14ac:dyDescent="0.3">
      <c r="A64" s="21" t="str">
        <f>Products_Master!A61</f>
        <v>PWR-XL4015</v>
      </c>
      <c r="B64" s="21" t="str">
        <f>Products_Master!D61</f>
        <v>XL4015 5A Buck Module</v>
      </c>
      <c r="C64" s="21" t="str">
        <f>Products_Master!B61</f>
        <v>Power</v>
      </c>
      <c r="D64" s="22">
        <f>Products_Master!M61</f>
        <v>66</v>
      </c>
      <c r="E64" s="21">
        <f>Products_Master!AQ61</f>
        <v>6</v>
      </c>
      <c r="F64" s="22">
        <f t="shared" si="2"/>
        <v>396</v>
      </c>
      <c r="G64" s="22">
        <f>Products_Master!AL61</f>
        <v>392.12307692307689</v>
      </c>
      <c r="H64" s="22">
        <f t="shared" si="3"/>
        <v>1956.7384615384613</v>
      </c>
    </row>
    <row r="65" spans="1:8" x14ac:dyDescent="0.3">
      <c r="A65" s="21" t="str">
        <f>Products_Master!A62</f>
        <v>PWR-LM2596</v>
      </c>
      <c r="B65" s="21" t="str">
        <f>Products_Master!D62</f>
        <v>LM2596 Buck Module</v>
      </c>
      <c r="C65" s="21" t="str">
        <f>Products_Master!B62</f>
        <v>Power</v>
      </c>
      <c r="D65" s="22">
        <f>Products_Master!M62</f>
        <v>39</v>
      </c>
      <c r="E65" s="21">
        <f>Products_Master!AQ62</f>
        <v>20</v>
      </c>
      <c r="F65" s="22">
        <f t="shared" si="2"/>
        <v>780</v>
      </c>
      <c r="G65" s="22">
        <f>Products_Master!AL62</f>
        <v>343.10769230769228</v>
      </c>
      <c r="H65" s="22">
        <f t="shared" si="3"/>
        <v>6082.1538461538457</v>
      </c>
    </row>
    <row r="66" spans="1:8" x14ac:dyDescent="0.3">
      <c r="A66" s="21" t="str">
        <f>Products_Master!A63</f>
        <v>PWR-IRFZ44</v>
      </c>
      <c r="B66" s="21" t="str">
        <f>Products_Master!D63</f>
        <v>MOSFET IRFZ44N</v>
      </c>
      <c r="C66" s="21" t="str">
        <f>Products_Master!B63</f>
        <v>Power</v>
      </c>
      <c r="D66" s="22">
        <f>Products_Master!M63</f>
        <v>30</v>
      </c>
      <c r="E66" s="21">
        <f>Products_Master!AQ63</f>
        <v>0</v>
      </c>
      <c r="F66" s="22">
        <f t="shared" si="2"/>
        <v>0</v>
      </c>
      <c r="G66" s="22">
        <f>Products_Master!AL63</f>
        <v>326.76923076923072</v>
      </c>
      <c r="H66" s="22">
        <f t="shared" si="3"/>
        <v>0</v>
      </c>
    </row>
    <row r="67" spans="1:8" x14ac:dyDescent="0.3">
      <c r="A67" s="21" t="str">
        <f>Products_Master!A64</f>
        <v>PWR-MLCC-KIT</v>
      </c>
      <c r="B67" s="21" t="str">
        <f>Products_Master!D64</f>
        <v>MLCC Capacitor Assortment Kit</v>
      </c>
      <c r="C67" s="21" t="str">
        <f>Products_Master!B64</f>
        <v>Power</v>
      </c>
      <c r="D67" s="22">
        <f>Products_Master!M64</f>
        <v>450</v>
      </c>
      <c r="E67" s="21">
        <f>Products_Master!AQ64</f>
        <v>5</v>
      </c>
      <c r="F67" s="22">
        <f t="shared" si="2"/>
        <v>2250</v>
      </c>
      <c r="G67" s="22">
        <f>Products_Master!AL64</f>
        <v>1089.2307692307693</v>
      </c>
      <c r="H67" s="22">
        <f t="shared" si="3"/>
        <v>3196.1538461538466</v>
      </c>
    </row>
    <row r="68" spans="1:8" x14ac:dyDescent="0.3">
      <c r="A68" s="21" t="str">
        <f>Products_Master!A65</f>
        <v>PWR-IND-KIT</v>
      </c>
      <c r="B68" s="21" t="str">
        <f>Products_Master!D65</f>
        <v>Inductor Assortment Kit</v>
      </c>
      <c r="C68" s="21" t="str">
        <f>Products_Master!B65</f>
        <v>Power</v>
      </c>
      <c r="D68" s="22">
        <f>Products_Master!M65</f>
        <v>350</v>
      </c>
      <c r="E68" s="21">
        <f>Products_Master!AQ65</f>
        <v>0</v>
      </c>
      <c r="F68" s="22">
        <f t="shared" si="2"/>
        <v>0</v>
      </c>
      <c r="G68" s="22">
        <f>Products_Master!AL65</f>
        <v>907.69230769230762</v>
      </c>
      <c r="H68" s="22">
        <f t="shared" si="3"/>
        <v>0</v>
      </c>
    </row>
    <row r="69" spans="1:8" x14ac:dyDescent="0.3">
      <c r="A69" s="21" t="str">
        <f>Products_Master!A66</f>
        <v>PWR-TVS-SMBJ</v>
      </c>
      <c r="B69" s="21" t="str">
        <f>Products_Master!D66</f>
        <v>TVS Diode SMBJ Series</v>
      </c>
      <c r="C69" s="21" t="str">
        <f>Products_Master!B66</f>
        <v>Power</v>
      </c>
      <c r="D69" s="22">
        <f>Products_Master!M66</f>
        <v>12</v>
      </c>
      <c r="E69" s="21">
        <f>Products_Master!AQ66</f>
        <v>0</v>
      </c>
      <c r="F69" s="22">
        <f t="shared" ref="F69:F75" si="4">D69*E69</f>
        <v>0</v>
      </c>
      <c r="G69" s="22">
        <f>Products_Master!AL66</f>
        <v>294.09230769230766</v>
      </c>
      <c r="H69" s="22">
        <f t="shared" ref="H69:H75" si="5">(G69-D69)*E69</f>
        <v>0</v>
      </c>
    </row>
    <row r="70" spans="1:8" x14ac:dyDescent="0.3">
      <c r="A70" s="21" t="str">
        <f>Products_Master!A67</f>
        <v>TOOL-LOGIC-8CH</v>
      </c>
      <c r="B70" s="21" t="str">
        <f>Products_Master!D67</f>
        <v>8-Channel USB Logic Analyzer</v>
      </c>
      <c r="C70" s="21" t="str">
        <f>Products_Master!B67</f>
        <v>Tool</v>
      </c>
      <c r="D70" s="22">
        <f>Products_Master!M67</f>
        <v>355</v>
      </c>
      <c r="E70" s="21">
        <f>Products_Master!AQ67</f>
        <v>2</v>
      </c>
      <c r="F70" s="22">
        <f t="shared" si="4"/>
        <v>710</v>
      </c>
      <c r="G70" s="22">
        <f>Products_Master!AL67</f>
        <v>916.76923076923072</v>
      </c>
      <c r="H70" s="22">
        <f t="shared" si="5"/>
        <v>1123.5384615384614</v>
      </c>
    </row>
    <row r="71" spans="1:8" x14ac:dyDescent="0.3">
      <c r="A71" s="21" t="str">
        <f>Products_Master!A68</f>
        <v>TOOL-JTAG</v>
      </c>
      <c r="B71" s="21" t="str">
        <f>Products_Master!D68</f>
        <v>USB JTAG Programmer</v>
      </c>
      <c r="C71" s="21" t="str">
        <f>Products_Master!B68</f>
        <v>Tool</v>
      </c>
      <c r="D71" s="22">
        <f>Products_Master!M68</f>
        <v>3345</v>
      </c>
      <c r="E71" s="21">
        <f>Products_Master!AQ68</f>
        <v>4</v>
      </c>
      <c r="F71" s="22">
        <f t="shared" si="4"/>
        <v>13380</v>
      </c>
      <c r="G71" s="22">
        <f>Products_Master!AL68</f>
        <v>6344.7692307692296</v>
      </c>
      <c r="H71" s="22">
        <f t="shared" si="5"/>
        <v>11999.076923076918</v>
      </c>
    </row>
    <row r="72" spans="1:8" x14ac:dyDescent="0.3">
      <c r="A72" s="21" t="str">
        <f>Products_Master!A69</f>
        <v>TOOL-DMM</v>
      </c>
      <c r="B72" s="21" t="str">
        <f>Products_Master!D69</f>
        <v>Digital Multimeter (basic)</v>
      </c>
      <c r="C72" s="21" t="str">
        <f>Products_Master!B69</f>
        <v>Tool</v>
      </c>
      <c r="D72" s="22">
        <f>Products_Master!M69</f>
        <v>1569</v>
      </c>
      <c r="E72" s="21">
        <f>Products_Master!AQ69</f>
        <v>0</v>
      </c>
      <c r="F72" s="22">
        <f t="shared" si="4"/>
        <v>0</v>
      </c>
      <c r="G72" s="22">
        <f>Products_Master!AL69</f>
        <v>3120.6461538461535</v>
      </c>
      <c r="H72" s="22">
        <f t="shared" si="5"/>
        <v>0</v>
      </c>
    </row>
    <row r="73" spans="1:8" ht="28.8" customHeight="1" x14ac:dyDescent="0.3">
      <c r="A73" s="21" t="str">
        <f>Products_Master!A70</f>
        <v>ACC-BREADBOARD</v>
      </c>
      <c r="B73" s="21" t="str">
        <f>Products_Master!D70</f>
        <v>Breadboard (full size)</v>
      </c>
      <c r="C73" s="21" t="str">
        <f>Products_Master!B70</f>
        <v>Accessory</v>
      </c>
      <c r="D73" s="22">
        <f>Products_Master!M70</f>
        <v>54</v>
      </c>
      <c r="E73" s="21">
        <f>Products_Master!AQ70</f>
        <v>25</v>
      </c>
      <c r="F73" s="22">
        <f t="shared" si="4"/>
        <v>1350</v>
      </c>
      <c r="G73" s="22">
        <f>Products_Master!AL70</f>
        <v>370.3384615384615</v>
      </c>
      <c r="H73" s="22">
        <f t="shared" si="5"/>
        <v>7908.4615384615372</v>
      </c>
    </row>
    <row r="74" spans="1:8" x14ac:dyDescent="0.3">
      <c r="A74" s="21" t="str">
        <f>Products_Master!A71</f>
        <v>ACC-JUMPER</v>
      </c>
      <c r="B74" s="21" t="str">
        <f>Products_Master!D71</f>
        <v>Jumper Wires Pack</v>
      </c>
      <c r="C74" s="21" t="str">
        <f>Products_Master!B71</f>
        <v>Accessory</v>
      </c>
      <c r="D74" s="22">
        <f>Products_Master!M71</f>
        <v>115.83</v>
      </c>
      <c r="E74" s="21">
        <f>Products_Master!AQ71</f>
        <v>40</v>
      </c>
      <c r="F74" s="22">
        <f t="shared" si="4"/>
        <v>4633.2</v>
      </c>
      <c r="G74" s="22">
        <f>Products_Master!AL71</f>
        <v>482.58369230769227</v>
      </c>
      <c r="H74" s="22">
        <f t="shared" si="5"/>
        <v>14670.147692307692</v>
      </c>
    </row>
    <row r="75" spans="1:8" x14ac:dyDescent="0.3">
      <c r="A75" s="21" t="str">
        <f>Products_Master!A72</f>
        <v>TOOL-SOLDER-KIT</v>
      </c>
      <c r="B75" s="21" t="str">
        <f>Products_Master!D72</f>
        <v>Soldering Kit</v>
      </c>
      <c r="C75" s="21" t="str">
        <f>Products_Master!B72</f>
        <v>Tool</v>
      </c>
      <c r="D75" s="22">
        <f>Products_Master!M72</f>
        <v>399</v>
      </c>
      <c r="E75" s="21">
        <f>Products_Master!AQ72</f>
        <v>8</v>
      </c>
      <c r="F75" s="22">
        <f t="shared" si="4"/>
        <v>3192</v>
      </c>
      <c r="G75" s="22">
        <f>Products_Master!AL72</f>
        <v>996.64615384615377</v>
      </c>
      <c r="H75" s="22">
        <f t="shared" si="5"/>
        <v>4781.1692307692301</v>
      </c>
    </row>
    <row r="77" spans="1:8" x14ac:dyDescent="0.3">
      <c r="E77" s="2" t="s">
        <v>1000</v>
      </c>
      <c r="F77" s="23">
        <f>SUM(F5:F75)</f>
        <v>463990.2</v>
      </c>
      <c r="H77" s="23">
        <f>SUM(H5:H75)</f>
        <v>525648.93230769224</v>
      </c>
    </row>
  </sheetData>
  <autoFilter ref="A4:H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38" customWidth="1"/>
    <col min="3" max="3" width="14" customWidth="1"/>
    <col min="4" max="4" width="18" customWidth="1"/>
    <col min="5" max="5" width="8" customWidth="1"/>
    <col min="6" max="6" width="18" customWidth="1"/>
    <col min="7" max="7" width="22" customWidth="1"/>
    <col min="8" max="8" width="24" customWidth="1"/>
  </cols>
  <sheetData>
    <row r="1" spans="1:8" x14ac:dyDescent="0.3">
      <c r="A1" s="18" t="s">
        <v>994</v>
      </c>
      <c r="B1" s="19">
        <v>2000000</v>
      </c>
    </row>
    <row r="2" spans="1:8" ht="28.8" customHeight="1" x14ac:dyDescent="0.3">
      <c r="A2" s="18" t="s">
        <v>995</v>
      </c>
      <c r="B2" s="20">
        <f>SUM(F5:F75)</f>
        <v>1245977.3999999999</v>
      </c>
    </row>
    <row r="3" spans="1:8" ht="28.8" customHeight="1" x14ac:dyDescent="0.3">
      <c r="A3" s="18" t="s">
        <v>996</v>
      </c>
      <c r="B3" s="20">
        <f>B1-B2</f>
        <v>754022.60000000009</v>
      </c>
    </row>
    <row r="4" spans="1:8" ht="28.8" customHeight="1" x14ac:dyDescent="0.3">
      <c r="A4" s="6" t="s">
        <v>27</v>
      </c>
      <c r="B4" s="6" t="s">
        <v>30</v>
      </c>
      <c r="C4" s="6" t="s">
        <v>28</v>
      </c>
      <c r="D4" s="6" t="s">
        <v>39</v>
      </c>
      <c r="E4" s="6" t="s">
        <v>997</v>
      </c>
      <c r="F4" s="6" t="s">
        <v>998</v>
      </c>
      <c r="G4" s="6" t="s">
        <v>64</v>
      </c>
      <c r="H4" s="6" t="s">
        <v>999</v>
      </c>
    </row>
    <row r="5" spans="1:8" x14ac:dyDescent="0.3">
      <c r="A5" s="21" t="str">
        <f>Products_Master!A2</f>
        <v>FPGA-A7-35T</v>
      </c>
      <c r="B5" s="21" t="str">
        <f>Products_Master!D2</f>
        <v>Artix-7 FPGA Dev Board</v>
      </c>
      <c r="C5" s="21" t="str">
        <f>Products_Master!B2</f>
        <v>FPGA Board</v>
      </c>
      <c r="D5" s="22">
        <f>Products_Master!M2</f>
        <v>6500</v>
      </c>
      <c r="E5" s="21">
        <f>Products_Master!AR2</f>
        <v>16</v>
      </c>
      <c r="F5" s="22">
        <f t="shared" ref="F5:F36" si="0">D5*E5</f>
        <v>104000</v>
      </c>
      <c r="G5" s="22">
        <f>Products_Master!AL2</f>
        <v>12072.307692307691</v>
      </c>
      <c r="H5" s="22">
        <f t="shared" ref="H5:H36" si="1">(G5-D5)*E5</f>
        <v>89156.923076923063</v>
      </c>
    </row>
    <row r="6" spans="1:8" x14ac:dyDescent="0.3">
      <c r="A6" s="21" t="str">
        <f>Products_Master!A3</f>
        <v>FPGA-A7-100T</v>
      </c>
      <c r="B6" s="21" t="str">
        <f>Products_Master!D3</f>
        <v>Artix-7 FPGA Dev Board</v>
      </c>
      <c r="C6" s="21" t="str">
        <f>Products_Master!B3</f>
        <v>FPGA Board</v>
      </c>
      <c r="D6" s="22">
        <f>Products_Master!M3</f>
        <v>10500</v>
      </c>
      <c r="E6" s="21">
        <f>Products_Master!AR3</f>
        <v>0</v>
      </c>
      <c r="F6" s="22">
        <f t="shared" si="0"/>
        <v>0</v>
      </c>
      <c r="G6" s="22">
        <f>Products_Master!AL3</f>
        <v>19333.846153846152</v>
      </c>
      <c r="H6" s="22">
        <f t="shared" si="1"/>
        <v>0</v>
      </c>
    </row>
    <row r="7" spans="1:8" x14ac:dyDescent="0.3">
      <c r="A7" s="21" t="str">
        <f>Products_Master!A4</f>
        <v>FPGA-ZYNQ-7020</v>
      </c>
      <c r="B7" s="21" t="str">
        <f>Products_Master!D4</f>
        <v>Zynq-7000 Dev Board</v>
      </c>
      <c r="C7" s="21" t="str">
        <f>Products_Master!B4</f>
        <v>FPGA Board</v>
      </c>
      <c r="D7" s="22">
        <f>Products_Master!M4</f>
        <v>12500</v>
      </c>
      <c r="E7" s="21">
        <f>Products_Master!AR4</f>
        <v>8</v>
      </c>
      <c r="F7" s="22">
        <f t="shared" si="0"/>
        <v>100000</v>
      </c>
      <c r="G7" s="22">
        <f>Products_Master!AL4</f>
        <v>22964.615384615383</v>
      </c>
      <c r="H7" s="22">
        <f t="shared" si="1"/>
        <v>83716.923076923063</v>
      </c>
    </row>
    <row r="8" spans="1:8" x14ac:dyDescent="0.3">
      <c r="A8" s="21" t="str">
        <f>Products_Master!A5</f>
        <v>FPGA-SPARTAN6</v>
      </c>
      <c r="B8" s="21" t="str">
        <f>Products_Master!D5</f>
        <v>Spartan-6 Dev Board</v>
      </c>
      <c r="C8" s="21" t="str">
        <f>Products_Master!B5</f>
        <v>FPGA Board</v>
      </c>
      <c r="D8" s="22">
        <f>Products_Master!M5</f>
        <v>4200</v>
      </c>
      <c r="E8" s="21">
        <f>Products_Master!AR5</f>
        <v>0</v>
      </c>
      <c r="F8" s="22">
        <f t="shared" si="0"/>
        <v>0</v>
      </c>
      <c r="G8" s="22">
        <f>Products_Master!AL5</f>
        <v>7896.9230769230762</v>
      </c>
      <c r="H8" s="22">
        <f t="shared" si="1"/>
        <v>0</v>
      </c>
    </row>
    <row r="9" spans="1:8" x14ac:dyDescent="0.3">
      <c r="A9" s="21" t="str">
        <f>Products_Master!A6</f>
        <v>FPGA-ICE40UP5K</v>
      </c>
      <c r="B9" s="21" t="str">
        <f>Products_Master!D6</f>
        <v>iCE40 UltraPlus Dev Board</v>
      </c>
      <c r="C9" s="21" t="str">
        <f>Products_Master!B6</f>
        <v>FPGA Board</v>
      </c>
      <c r="D9" s="22">
        <f>Products_Master!M6</f>
        <v>2200</v>
      </c>
      <c r="E9" s="21">
        <f>Products_Master!AR6</f>
        <v>12</v>
      </c>
      <c r="F9" s="22">
        <f t="shared" si="0"/>
        <v>26400</v>
      </c>
      <c r="G9" s="22">
        <f>Products_Master!AL6</f>
        <v>4266.1538461538457</v>
      </c>
      <c r="H9" s="22">
        <f t="shared" si="1"/>
        <v>24793.846153846149</v>
      </c>
    </row>
    <row r="10" spans="1:8" x14ac:dyDescent="0.3">
      <c r="A10" s="21" t="str">
        <f>Products_Master!A7</f>
        <v>FPGA-ECP5-25F</v>
      </c>
      <c r="B10" s="21" t="str">
        <f>Products_Master!D7</f>
        <v>ECP5 Dev Board</v>
      </c>
      <c r="C10" s="21" t="str">
        <f>Products_Master!B7</f>
        <v>FPGA Board</v>
      </c>
      <c r="D10" s="22">
        <f>Products_Master!M7</f>
        <v>5800</v>
      </c>
      <c r="E10" s="21">
        <f>Products_Master!AR7</f>
        <v>12</v>
      </c>
      <c r="F10" s="22">
        <f t="shared" si="0"/>
        <v>69600</v>
      </c>
      <c r="G10" s="22">
        <f>Products_Master!AL7</f>
        <v>10801.538461538461</v>
      </c>
      <c r="H10" s="22">
        <f t="shared" si="1"/>
        <v>60018.461538461532</v>
      </c>
    </row>
    <row r="11" spans="1:8" x14ac:dyDescent="0.3">
      <c r="A11" s="21" t="str">
        <f>Products_Master!A8</f>
        <v>FPGA-ECP5-45F</v>
      </c>
      <c r="B11" s="21" t="str">
        <f>Products_Master!D8</f>
        <v>ECP5 Dev Board</v>
      </c>
      <c r="C11" s="21" t="str">
        <f>Products_Master!B8</f>
        <v>FPGA Board</v>
      </c>
      <c r="D11" s="22">
        <f>Products_Master!M8</f>
        <v>7500</v>
      </c>
      <c r="E11" s="21">
        <f>Products_Master!AR8</f>
        <v>6</v>
      </c>
      <c r="F11" s="22">
        <f t="shared" si="0"/>
        <v>45000</v>
      </c>
      <c r="G11" s="22">
        <f>Products_Master!AL8</f>
        <v>13887.692307692307</v>
      </c>
      <c r="H11" s="22">
        <f t="shared" si="1"/>
        <v>38326.153846153844</v>
      </c>
    </row>
    <row r="12" spans="1:8" x14ac:dyDescent="0.3">
      <c r="A12" s="21" t="str">
        <f>Products_Master!A9</f>
        <v>FPGA-ECP5-85F</v>
      </c>
      <c r="B12" s="21" t="str">
        <f>Products_Master!D9</f>
        <v>ECP5 Dev Board</v>
      </c>
      <c r="C12" s="21" t="str">
        <f>Products_Master!B9</f>
        <v>FPGA Board</v>
      </c>
      <c r="D12" s="22">
        <f>Products_Master!M9</f>
        <v>9800</v>
      </c>
      <c r="E12" s="21">
        <f>Products_Master!AR9</f>
        <v>0</v>
      </c>
      <c r="F12" s="22">
        <f t="shared" si="0"/>
        <v>0</v>
      </c>
      <c r="G12" s="22">
        <f>Products_Master!AL9</f>
        <v>18063.076923076922</v>
      </c>
      <c r="H12" s="22">
        <f t="shared" si="1"/>
        <v>0</v>
      </c>
    </row>
    <row r="13" spans="1:8" x14ac:dyDescent="0.3">
      <c r="A13" s="21" t="str">
        <f>Products_Master!A10</f>
        <v>FPGA-MAX10</v>
      </c>
      <c r="B13" s="21" t="str">
        <f>Products_Master!D10</f>
        <v>MAX10 Dev Board</v>
      </c>
      <c r="C13" s="21" t="str">
        <f>Products_Master!B10</f>
        <v>FPGA Board</v>
      </c>
      <c r="D13" s="22">
        <f>Products_Master!M10</f>
        <v>6500</v>
      </c>
      <c r="E13" s="21">
        <f>Products_Master!AR10</f>
        <v>0</v>
      </c>
      <c r="F13" s="22">
        <f t="shared" si="0"/>
        <v>0</v>
      </c>
      <c r="G13" s="22">
        <f>Products_Master!AL10</f>
        <v>12072.307692307691</v>
      </c>
      <c r="H13" s="22">
        <f t="shared" si="1"/>
        <v>0</v>
      </c>
    </row>
    <row r="14" spans="1:8" x14ac:dyDescent="0.3">
      <c r="A14" s="21" t="str">
        <f>Products_Master!A11</f>
        <v>FPGA-CYC5GX</v>
      </c>
      <c r="B14" s="21" t="str">
        <f>Products_Master!D11</f>
        <v>Cyclone V GX Dev Board</v>
      </c>
      <c r="C14" s="21" t="str">
        <f>Products_Master!B11</f>
        <v>FPGA Board</v>
      </c>
      <c r="D14" s="22">
        <f>Products_Master!M11</f>
        <v>16500</v>
      </c>
      <c r="E14" s="21">
        <f>Products_Master!AR11</f>
        <v>0</v>
      </c>
      <c r="F14" s="22">
        <f t="shared" si="0"/>
        <v>0</v>
      </c>
      <c r="G14" s="22">
        <f>Products_Master!AL11</f>
        <v>30226.153846153844</v>
      </c>
      <c r="H14" s="22">
        <f t="shared" si="1"/>
        <v>0</v>
      </c>
    </row>
    <row r="15" spans="1:8" x14ac:dyDescent="0.3">
      <c r="A15" s="21" t="str">
        <f>Products_Master!A12</f>
        <v>FPGA-CYC10LP</v>
      </c>
      <c r="B15" s="21" t="str">
        <f>Products_Master!D12</f>
        <v>Cyclone 10 LP Dev Board</v>
      </c>
      <c r="C15" s="21" t="str">
        <f>Products_Master!B12</f>
        <v>FPGA Board</v>
      </c>
      <c r="D15" s="22">
        <f>Products_Master!M12</f>
        <v>7200</v>
      </c>
      <c r="E15" s="21">
        <f>Products_Master!AR12</f>
        <v>4</v>
      </c>
      <c r="F15" s="22">
        <f t="shared" si="0"/>
        <v>28800</v>
      </c>
      <c r="G15" s="22">
        <f>Products_Master!AL12</f>
        <v>13343.076923076922</v>
      </c>
      <c r="H15" s="22">
        <f t="shared" si="1"/>
        <v>24572.307692307688</v>
      </c>
    </row>
    <row r="16" spans="1:8" x14ac:dyDescent="0.3">
      <c r="A16" s="21" t="str">
        <f>Products_Master!A13</f>
        <v>FPGA-ZU-DEV</v>
      </c>
      <c r="B16" s="21" t="str">
        <f>Products_Master!D13</f>
        <v>Zynq UltraScale+ Dev Kit</v>
      </c>
      <c r="C16" s="21" t="str">
        <f>Products_Master!B13</f>
        <v>FPGA Board</v>
      </c>
      <c r="D16" s="22">
        <f>Products_Master!M13</f>
        <v>65000</v>
      </c>
      <c r="E16" s="21">
        <f>Products_Master!AR13</f>
        <v>0</v>
      </c>
      <c r="F16" s="22">
        <f t="shared" si="0"/>
        <v>0</v>
      </c>
      <c r="G16" s="22">
        <f>Products_Master!AL13</f>
        <v>118272.30769230769</v>
      </c>
      <c r="H16" s="22">
        <f t="shared" si="1"/>
        <v>0</v>
      </c>
    </row>
    <row r="17" spans="1:8" x14ac:dyDescent="0.3">
      <c r="A17" s="21" t="str">
        <f>Products_Master!A14</f>
        <v>SOM-ULTRA96V2</v>
      </c>
      <c r="B17" s="21" t="str">
        <f>Products_Master!D14</f>
        <v>Ultra96-V2 SOM</v>
      </c>
      <c r="C17" s="21" t="str">
        <f>Products_Master!B14</f>
        <v>SOM Module</v>
      </c>
      <c r="D17" s="22">
        <f>Products_Master!M14</f>
        <v>22000</v>
      </c>
      <c r="E17" s="21">
        <f>Products_Master!AR14</f>
        <v>0</v>
      </c>
      <c r="F17" s="22">
        <f t="shared" si="0"/>
        <v>0</v>
      </c>
      <c r="G17" s="22">
        <f>Products_Master!AL14</f>
        <v>40210.769230769227</v>
      </c>
      <c r="H17" s="22">
        <f t="shared" si="1"/>
        <v>0</v>
      </c>
    </row>
    <row r="18" spans="1:8" x14ac:dyDescent="0.3">
      <c r="A18" s="21" t="str">
        <f>Products_Master!A15</f>
        <v>SOM-KRIA-KV260</v>
      </c>
      <c r="B18" s="21" t="str">
        <f>Products_Master!D15</f>
        <v>Kria KV260 Vision AI Starter Kit</v>
      </c>
      <c r="C18" s="21" t="str">
        <f>Products_Master!B15</f>
        <v>SOM Module</v>
      </c>
      <c r="D18" s="22">
        <f>Products_Master!M15</f>
        <v>28000</v>
      </c>
      <c r="E18" s="21">
        <f>Products_Master!AR15</f>
        <v>0</v>
      </c>
      <c r="F18" s="22">
        <f t="shared" si="0"/>
        <v>0</v>
      </c>
      <c r="G18" s="22">
        <f>Products_Master!AL15</f>
        <v>51103.076923076922</v>
      </c>
      <c r="H18" s="22">
        <f t="shared" si="1"/>
        <v>0</v>
      </c>
    </row>
    <row r="19" spans="1:8" x14ac:dyDescent="0.3">
      <c r="A19" s="21" t="str">
        <f>Products_Master!A16</f>
        <v>SOM-ZYBO-Z7</v>
      </c>
      <c r="B19" s="21" t="str">
        <f>Products_Master!D16</f>
        <v>Zybo Z7-20</v>
      </c>
      <c r="C19" s="21" t="str">
        <f>Products_Master!B16</f>
        <v>SOM Module</v>
      </c>
      <c r="D19" s="22">
        <f>Products_Master!M16</f>
        <v>19000</v>
      </c>
      <c r="E19" s="21">
        <f>Products_Master!AR16</f>
        <v>0</v>
      </c>
      <c r="F19" s="22">
        <f t="shared" si="0"/>
        <v>0</v>
      </c>
      <c r="G19" s="22">
        <f>Products_Master!AL16</f>
        <v>34764.615384615383</v>
      </c>
      <c r="H19" s="22">
        <f t="shared" si="1"/>
        <v>0</v>
      </c>
    </row>
    <row r="20" spans="1:8" x14ac:dyDescent="0.3">
      <c r="A20" s="21" t="str">
        <f>Products_Master!A17</f>
        <v>SOM-ARTY-A7</v>
      </c>
      <c r="B20" s="21" t="str">
        <f>Products_Master!D17</f>
        <v>Arty A7-35T</v>
      </c>
      <c r="C20" s="21" t="str">
        <f>Products_Master!B17</f>
        <v>SOM Module</v>
      </c>
      <c r="D20" s="22">
        <f>Products_Master!M17</f>
        <v>17500</v>
      </c>
      <c r="E20" s="21">
        <f>Products_Master!AR17</f>
        <v>0</v>
      </c>
      <c r="F20" s="22">
        <f t="shared" si="0"/>
        <v>0</v>
      </c>
      <c r="G20" s="22">
        <f>Products_Master!AL17</f>
        <v>32041.538461538461</v>
      </c>
      <c r="H20" s="22">
        <f t="shared" si="1"/>
        <v>0</v>
      </c>
    </row>
    <row r="21" spans="1:8" x14ac:dyDescent="0.3">
      <c r="A21" s="21" t="str">
        <f>Products_Master!A18</f>
        <v>SOM-ZTURN</v>
      </c>
      <c r="B21" s="21" t="str">
        <f>Products_Master!D18</f>
        <v>Z-turn Board</v>
      </c>
      <c r="C21" s="21" t="str">
        <f>Products_Master!B18</f>
        <v>SOM Module</v>
      </c>
      <c r="D21" s="22">
        <f>Products_Master!M18</f>
        <v>14500</v>
      </c>
      <c r="E21" s="21">
        <f>Products_Master!AR18</f>
        <v>0</v>
      </c>
      <c r="F21" s="22">
        <f t="shared" si="0"/>
        <v>0</v>
      </c>
      <c r="G21" s="22">
        <f>Products_Master!AL18</f>
        <v>26595.384615384613</v>
      </c>
      <c r="H21" s="22">
        <f t="shared" si="1"/>
        <v>0</v>
      </c>
    </row>
    <row r="22" spans="1:8" x14ac:dyDescent="0.3">
      <c r="A22" s="21" t="str">
        <f>Products_Master!A19</f>
        <v>SOM-TRENZ-TE</v>
      </c>
      <c r="B22" s="21" t="str">
        <f>Products_Master!D19</f>
        <v>Trenz TE Series (Zynq SOM)</v>
      </c>
      <c r="C22" s="21" t="str">
        <f>Products_Master!B19</f>
        <v>SOM Module</v>
      </c>
      <c r="D22" s="22">
        <f>Products_Master!M19</f>
        <v>16000</v>
      </c>
      <c r="E22" s="21">
        <f>Products_Master!AR19</f>
        <v>0</v>
      </c>
      <c r="F22" s="22">
        <f t="shared" si="0"/>
        <v>0</v>
      </c>
      <c r="G22" s="22">
        <f>Products_Master!AL19</f>
        <v>29318.461538461539</v>
      </c>
      <c r="H22" s="22">
        <f t="shared" si="1"/>
        <v>0</v>
      </c>
    </row>
    <row r="23" spans="1:8" ht="43.2" x14ac:dyDescent="0.3">
      <c r="A23" s="21" t="str">
        <f>Products_Master!A20</f>
        <v>SOM-COLORLIGHT-ECP5</v>
      </c>
      <c r="B23" s="21" t="str">
        <f>Products_Master!D20</f>
        <v>Colorlight i5 ECP5 Board</v>
      </c>
      <c r="C23" s="21" t="str">
        <f>Products_Master!B20</f>
        <v>SOM Module</v>
      </c>
      <c r="D23" s="22">
        <f>Products_Master!M20</f>
        <v>6500</v>
      </c>
      <c r="E23" s="21">
        <f>Products_Master!AR20</f>
        <v>6</v>
      </c>
      <c r="F23" s="22">
        <f t="shared" si="0"/>
        <v>39000</v>
      </c>
      <c r="G23" s="22">
        <f>Products_Master!AL20</f>
        <v>12072.307692307691</v>
      </c>
      <c r="H23" s="22">
        <f t="shared" si="1"/>
        <v>33433.846153846149</v>
      </c>
    </row>
    <row r="24" spans="1:8" x14ac:dyDescent="0.3">
      <c r="A24" s="21" t="str">
        <f>Products_Master!A21</f>
        <v>AI-JETSON-NANO</v>
      </c>
      <c r="B24" s="21" t="str">
        <f>Products_Master!D21</f>
        <v>NVIDIA Jetson Nano Dev Kit</v>
      </c>
      <c r="C24" s="21" t="str">
        <f>Products_Master!B21</f>
        <v>AI Edge Board</v>
      </c>
      <c r="D24" s="22">
        <f>Products_Master!M21</f>
        <v>21999</v>
      </c>
      <c r="E24" s="21">
        <f>Products_Master!AR21</f>
        <v>8</v>
      </c>
      <c r="F24" s="22">
        <f t="shared" si="0"/>
        <v>175992</v>
      </c>
      <c r="G24" s="22">
        <f>Products_Master!AL21</f>
        <v>40208.953846153847</v>
      </c>
      <c r="H24" s="22">
        <f t="shared" si="1"/>
        <v>145679.63076923077</v>
      </c>
    </row>
    <row r="25" spans="1:8" ht="28.8" x14ac:dyDescent="0.3">
      <c r="A25" s="21" t="str">
        <f>Products_Master!A22</f>
        <v>AI-JETSON-ORIN-NX</v>
      </c>
      <c r="B25" s="21" t="str">
        <f>Products_Master!D22</f>
        <v>NVIDIA Jetson Orin NX Kit</v>
      </c>
      <c r="C25" s="21" t="str">
        <f>Products_Master!B22</f>
        <v>AI Edge Board</v>
      </c>
      <c r="D25" s="22">
        <f>Products_Master!M22</f>
        <v>49999</v>
      </c>
      <c r="E25" s="21">
        <f>Products_Master!AR22</f>
        <v>3</v>
      </c>
      <c r="F25" s="22">
        <f t="shared" si="0"/>
        <v>149997</v>
      </c>
      <c r="G25" s="22">
        <f>Products_Master!AL22</f>
        <v>91039.723076923066</v>
      </c>
      <c r="H25" s="22">
        <f t="shared" si="1"/>
        <v>123122.1692307692</v>
      </c>
    </row>
    <row r="26" spans="1:8" ht="28.8" x14ac:dyDescent="0.3">
      <c r="A26" s="21" t="str">
        <f>Products_Master!A23</f>
        <v>AI-JETSON-ORIN-AGX</v>
      </c>
      <c r="B26" s="21" t="str">
        <f>Products_Master!D23</f>
        <v>NVIDIA Jetson Orin AGX Dev Kit</v>
      </c>
      <c r="C26" s="21" t="str">
        <f>Products_Master!B23</f>
        <v>AI Edge Board</v>
      </c>
      <c r="D26" s="22">
        <f>Products_Master!M23</f>
        <v>219999</v>
      </c>
      <c r="E26" s="21">
        <f>Products_Master!AR23</f>
        <v>0</v>
      </c>
      <c r="F26" s="22">
        <f t="shared" si="0"/>
        <v>0</v>
      </c>
      <c r="G26" s="22">
        <f>Products_Master!AL23</f>
        <v>399655.10769230762</v>
      </c>
      <c r="H26" s="22">
        <f t="shared" si="1"/>
        <v>0</v>
      </c>
    </row>
    <row r="27" spans="1:8" x14ac:dyDescent="0.3">
      <c r="A27" s="21" t="str">
        <f>Products_Master!A24</f>
        <v>AI-CORAL-DEV</v>
      </c>
      <c r="B27" s="21" t="str">
        <f>Products_Master!D24</f>
        <v>Google Coral Dev Board</v>
      </c>
      <c r="C27" s="21" t="str">
        <f>Products_Master!B24</f>
        <v>AI Edge Board</v>
      </c>
      <c r="D27" s="22">
        <f>Products_Master!M24</f>
        <v>14535</v>
      </c>
      <c r="E27" s="21">
        <f>Products_Master!AR24</f>
        <v>4</v>
      </c>
      <c r="F27" s="22">
        <f t="shared" si="0"/>
        <v>58140</v>
      </c>
      <c r="G27" s="22">
        <f>Products_Master!AL24</f>
        <v>26658.923076923074</v>
      </c>
      <c r="H27" s="22">
        <f t="shared" si="1"/>
        <v>48495.692307692298</v>
      </c>
    </row>
    <row r="28" spans="1:8" x14ac:dyDescent="0.3">
      <c r="A28" s="21" t="str">
        <f>Products_Master!A25</f>
        <v>AI-RK3588</v>
      </c>
      <c r="B28" s="21" t="str">
        <f>Products_Master!D25</f>
        <v>Rockchip RK3588 Dev Board</v>
      </c>
      <c r="C28" s="21" t="str">
        <f>Products_Master!B25</f>
        <v>AI Edge Board</v>
      </c>
      <c r="D28" s="22">
        <f>Products_Master!M25</f>
        <v>9200</v>
      </c>
      <c r="E28" s="21">
        <f>Products_Master!AR25</f>
        <v>6</v>
      </c>
      <c r="F28" s="22">
        <f t="shared" si="0"/>
        <v>55200</v>
      </c>
      <c r="G28" s="22">
        <f>Products_Master!AL25</f>
        <v>16973.846153846152</v>
      </c>
      <c r="H28" s="22">
        <f t="shared" si="1"/>
        <v>46643.076923076915</v>
      </c>
    </row>
    <row r="29" spans="1:8" x14ac:dyDescent="0.3">
      <c r="A29" s="21" t="str">
        <f>Products_Master!A26</f>
        <v>AI-K210</v>
      </c>
      <c r="B29" s="21" t="str">
        <f>Products_Master!D26</f>
        <v>Kendryte K210 RISC-V AI Board</v>
      </c>
      <c r="C29" s="21" t="str">
        <f>Products_Master!B26</f>
        <v>AI Edge Board</v>
      </c>
      <c r="D29" s="22">
        <f>Products_Master!M26</f>
        <v>1500</v>
      </c>
      <c r="E29" s="21">
        <f>Products_Master!AR26</f>
        <v>10</v>
      </c>
      <c r="F29" s="22">
        <f t="shared" si="0"/>
        <v>15000</v>
      </c>
      <c r="G29" s="22">
        <f>Products_Master!AL26</f>
        <v>2995.3846153846152</v>
      </c>
      <c r="H29" s="22">
        <f t="shared" si="1"/>
        <v>14953.846153846152</v>
      </c>
    </row>
    <row r="30" spans="1:8" x14ac:dyDescent="0.3">
      <c r="A30" s="21" t="str">
        <f>Products_Master!A27</f>
        <v>PMOD-GPIO</v>
      </c>
      <c r="B30" s="21" t="str">
        <f>Products_Master!D27</f>
        <v>PMOD GPIO</v>
      </c>
      <c r="C30" s="21" t="str">
        <f>Products_Master!B27</f>
        <v>PMOD Module</v>
      </c>
      <c r="D30" s="22">
        <f>Products_Master!M27</f>
        <v>180</v>
      </c>
      <c r="E30" s="21">
        <f>Products_Master!AR27</f>
        <v>30</v>
      </c>
      <c r="F30" s="22">
        <f t="shared" si="0"/>
        <v>5400</v>
      </c>
      <c r="G30" s="22">
        <f>Products_Master!AL27</f>
        <v>599.07692307692298</v>
      </c>
      <c r="H30" s="22">
        <f t="shared" si="1"/>
        <v>12572.30769230769</v>
      </c>
    </row>
    <row r="31" spans="1:8" x14ac:dyDescent="0.3">
      <c r="A31" s="21" t="str">
        <f>Products_Master!A28</f>
        <v>PMOD-OLED</v>
      </c>
      <c r="B31" s="21" t="str">
        <f>Products_Master!D28</f>
        <v>PMOD OLED Display</v>
      </c>
      <c r="C31" s="21" t="str">
        <f>Products_Master!B28</f>
        <v>PMOD Module</v>
      </c>
      <c r="D31" s="22">
        <f>Products_Master!M28</f>
        <v>700</v>
      </c>
      <c r="E31" s="21">
        <f>Products_Master!AR28</f>
        <v>12</v>
      </c>
      <c r="F31" s="22">
        <f t="shared" si="0"/>
        <v>8400</v>
      </c>
      <c r="G31" s="22">
        <f>Products_Master!AL28</f>
        <v>1543.0769230769231</v>
      </c>
      <c r="H31" s="22">
        <f t="shared" si="1"/>
        <v>10116.923076923078</v>
      </c>
    </row>
    <row r="32" spans="1:8" ht="28.8" x14ac:dyDescent="0.3">
      <c r="A32" s="21" t="str">
        <f>Products_Master!A29</f>
        <v>PMOD-CAM-OV5640</v>
      </c>
      <c r="B32" s="21" t="str">
        <f>Products_Master!D29</f>
        <v>PMOD Camera OV5640</v>
      </c>
      <c r="C32" s="21" t="str">
        <f>Products_Master!B29</f>
        <v>PMOD Module</v>
      </c>
      <c r="D32" s="22">
        <f>Products_Master!M29</f>
        <v>850</v>
      </c>
      <c r="E32" s="21">
        <f>Products_Master!AR29</f>
        <v>12</v>
      </c>
      <c r="F32" s="22">
        <f t="shared" si="0"/>
        <v>10200</v>
      </c>
      <c r="G32" s="22">
        <f>Products_Master!AL29</f>
        <v>1815.3846153846152</v>
      </c>
      <c r="H32" s="22">
        <f t="shared" si="1"/>
        <v>11584.615384615383</v>
      </c>
    </row>
    <row r="33" spans="1:8" x14ac:dyDescent="0.3">
      <c r="A33" s="21" t="str">
        <f>Products_Master!A30</f>
        <v>PMOD-ADC</v>
      </c>
      <c r="B33" s="21" t="str">
        <f>Products_Master!D30</f>
        <v>PMOD ADC</v>
      </c>
      <c r="C33" s="21" t="str">
        <f>Products_Master!B30</f>
        <v>PMOD Module</v>
      </c>
      <c r="D33" s="22">
        <f>Products_Master!M30</f>
        <v>350</v>
      </c>
      <c r="E33" s="21">
        <f>Products_Master!AR30</f>
        <v>20</v>
      </c>
      <c r="F33" s="22">
        <f t="shared" si="0"/>
        <v>7000</v>
      </c>
      <c r="G33" s="22">
        <f>Products_Master!AL30</f>
        <v>907.69230769230762</v>
      </c>
      <c r="H33" s="22">
        <f t="shared" si="1"/>
        <v>11153.846153846152</v>
      </c>
    </row>
    <row r="34" spans="1:8" x14ac:dyDescent="0.3">
      <c r="A34" s="21" t="str">
        <f>Products_Master!A31</f>
        <v>PMOD-WIFI</v>
      </c>
      <c r="B34" s="21" t="str">
        <f>Products_Master!D31</f>
        <v>PMOD WiFi/Bluetooth</v>
      </c>
      <c r="C34" s="21" t="str">
        <f>Products_Master!B31</f>
        <v>PMOD Module</v>
      </c>
      <c r="D34" s="22">
        <f>Products_Master!M31</f>
        <v>550</v>
      </c>
      <c r="E34" s="21">
        <f>Products_Master!AR31</f>
        <v>16</v>
      </c>
      <c r="F34" s="22">
        <f t="shared" si="0"/>
        <v>8800</v>
      </c>
      <c r="G34" s="22">
        <f>Products_Master!AL31</f>
        <v>1270.7692307692307</v>
      </c>
      <c r="H34" s="22">
        <f t="shared" si="1"/>
        <v>11532.307692307691</v>
      </c>
    </row>
    <row r="35" spans="1:8" x14ac:dyDescent="0.3">
      <c r="A35" s="21" t="str">
        <f>Products_Master!A32</f>
        <v>PMOD-ETH</v>
      </c>
      <c r="B35" s="21" t="str">
        <f>Products_Master!D32</f>
        <v>PMOD Ethernet</v>
      </c>
      <c r="C35" s="21" t="str">
        <f>Products_Master!B32</f>
        <v>PMOD Module</v>
      </c>
      <c r="D35" s="22">
        <f>Products_Master!M32</f>
        <v>950</v>
      </c>
      <c r="E35" s="21">
        <f>Products_Master!AR32</f>
        <v>12</v>
      </c>
      <c r="F35" s="22">
        <f t="shared" si="0"/>
        <v>11400</v>
      </c>
      <c r="G35" s="22">
        <f>Products_Master!AL32</f>
        <v>1996.9230769230769</v>
      </c>
      <c r="H35" s="22">
        <f t="shared" si="1"/>
        <v>12563.076923076922</v>
      </c>
    </row>
    <row r="36" spans="1:8" x14ac:dyDescent="0.3">
      <c r="A36" s="21" t="str">
        <f>Products_Master!A33</f>
        <v>CAM-IMX219</v>
      </c>
      <c r="B36" s="21" t="str">
        <f>Products_Master!D33</f>
        <v>Sony IMX219 MIPI Camera</v>
      </c>
      <c r="C36" s="21" t="str">
        <f>Products_Master!B33</f>
        <v>Camera</v>
      </c>
      <c r="D36" s="22">
        <f>Products_Master!M33</f>
        <v>1649</v>
      </c>
      <c r="E36" s="21">
        <f>Products_Master!AR33</f>
        <v>12</v>
      </c>
      <c r="F36" s="22">
        <f t="shared" si="0"/>
        <v>19788</v>
      </c>
      <c r="G36" s="22">
        <f>Products_Master!AL33</f>
        <v>3265.8769230769226</v>
      </c>
      <c r="H36" s="22">
        <f t="shared" si="1"/>
        <v>19402.523076923069</v>
      </c>
    </row>
    <row r="37" spans="1:8" x14ac:dyDescent="0.3">
      <c r="A37" s="21" t="str">
        <f>Products_Master!A34</f>
        <v>CAM-IMX477</v>
      </c>
      <c r="B37" s="21" t="str">
        <f>Products_Master!D34</f>
        <v>Sony IMX477 HQ Camera</v>
      </c>
      <c r="C37" s="21" t="str">
        <f>Products_Master!B34</f>
        <v>Camera</v>
      </c>
      <c r="D37" s="22">
        <f>Products_Master!M34</f>
        <v>6999</v>
      </c>
      <c r="E37" s="21">
        <f>Products_Master!AR34</f>
        <v>6</v>
      </c>
      <c r="F37" s="22">
        <f t="shared" ref="F37:F68" si="2">D37*E37</f>
        <v>41994</v>
      </c>
      <c r="G37" s="22">
        <f>Products_Master!AL34</f>
        <v>12978.184615384615</v>
      </c>
      <c r="H37" s="22">
        <f t="shared" ref="H37:H68" si="3">(G37-D37)*E37</f>
        <v>35875.107692307691</v>
      </c>
    </row>
    <row r="38" spans="1:8" x14ac:dyDescent="0.3">
      <c r="A38" s="21" t="str">
        <f>Products_Master!A35</f>
        <v>CAM-OV5647</v>
      </c>
      <c r="B38" s="21" t="str">
        <f>Products_Master!D35</f>
        <v>MIPI CSI-2 Camera (OV5647)</v>
      </c>
      <c r="C38" s="21" t="str">
        <f>Products_Master!B35</f>
        <v>Camera</v>
      </c>
      <c r="D38" s="22">
        <f>Products_Master!M35</f>
        <v>550</v>
      </c>
      <c r="E38" s="21">
        <f>Products_Master!AR35</f>
        <v>12</v>
      </c>
      <c r="F38" s="22">
        <f t="shared" si="2"/>
        <v>6600</v>
      </c>
      <c r="G38" s="22">
        <f>Products_Master!AL35</f>
        <v>1270.7692307692307</v>
      </c>
      <c r="H38" s="22">
        <f t="shared" si="3"/>
        <v>8649.2307692307695</v>
      </c>
    </row>
    <row r="39" spans="1:8" x14ac:dyDescent="0.3">
      <c r="A39" s="21" t="str">
        <f>Products_Master!A36</f>
        <v>CAM-OV7670</v>
      </c>
      <c r="B39" s="21" t="str">
        <f>Products_Master!D36</f>
        <v>DVP Camera OV7670</v>
      </c>
      <c r="C39" s="21" t="str">
        <f>Products_Master!B36</f>
        <v>Camera</v>
      </c>
      <c r="D39" s="22">
        <f>Products_Master!M36</f>
        <v>120</v>
      </c>
      <c r="E39" s="21">
        <f>Products_Master!AR36</f>
        <v>0</v>
      </c>
      <c r="F39" s="22">
        <f t="shared" si="2"/>
        <v>0</v>
      </c>
      <c r="G39" s="22">
        <f>Products_Master!AL36</f>
        <v>490.15384615384608</v>
      </c>
      <c r="H39" s="22">
        <f t="shared" si="3"/>
        <v>0</v>
      </c>
    </row>
    <row r="40" spans="1:8" x14ac:dyDescent="0.3">
      <c r="A40" s="21" t="str">
        <f>Products_Master!A37</f>
        <v>CAM-MLX90640</v>
      </c>
      <c r="B40" s="21" t="str">
        <f>Products_Master!D37</f>
        <v>Thermal Array MLX90640 Module</v>
      </c>
      <c r="C40" s="21" t="str">
        <f>Products_Master!B37</f>
        <v>Camera</v>
      </c>
      <c r="D40" s="22">
        <f>Products_Master!M37</f>
        <v>6180</v>
      </c>
      <c r="E40" s="21">
        <f>Products_Master!AR37</f>
        <v>0</v>
      </c>
      <c r="F40" s="22">
        <f t="shared" si="2"/>
        <v>0</v>
      </c>
      <c r="G40" s="22">
        <f>Products_Master!AL37</f>
        <v>11491.384615384615</v>
      </c>
      <c r="H40" s="22">
        <f t="shared" si="3"/>
        <v>0</v>
      </c>
    </row>
    <row r="41" spans="1:8" x14ac:dyDescent="0.3">
      <c r="A41" s="21" t="str">
        <f>Products_Master!A38</f>
        <v>SENS-MPU6050</v>
      </c>
      <c r="B41" s="21" t="str">
        <f>Products_Master!D38</f>
        <v>IMU MPU6050 Module</v>
      </c>
      <c r="C41" s="21" t="str">
        <f>Products_Master!B38</f>
        <v>Sensor</v>
      </c>
      <c r="D41" s="22">
        <f>Products_Master!M38</f>
        <v>165</v>
      </c>
      <c r="E41" s="21">
        <f>Products_Master!AR38</f>
        <v>60</v>
      </c>
      <c r="F41" s="22">
        <f t="shared" si="2"/>
        <v>9900</v>
      </c>
      <c r="G41" s="22">
        <f>Products_Master!AL38</f>
        <v>571.84615384615381</v>
      </c>
      <c r="H41" s="22">
        <f t="shared" si="3"/>
        <v>24410.769230769227</v>
      </c>
    </row>
    <row r="42" spans="1:8" x14ac:dyDescent="0.3">
      <c r="A42" s="21" t="str">
        <f>Products_Master!A39</f>
        <v>SENS-ICM20948</v>
      </c>
      <c r="B42" s="21" t="str">
        <f>Products_Master!D39</f>
        <v>IMU ICM20948 9-axis Module</v>
      </c>
      <c r="C42" s="21" t="str">
        <f>Products_Master!B39</f>
        <v>Sensor</v>
      </c>
      <c r="D42" s="22">
        <f>Products_Master!M39</f>
        <v>2459</v>
      </c>
      <c r="E42" s="21">
        <f>Products_Master!AR39</f>
        <v>20</v>
      </c>
      <c r="F42" s="22">
        <f t="shared" si="2"/>
        <v>49180</v>
      </c>
      <c r="G42" s="22">
        <f>Products_Master!AL39</f>
        <v>4736.3384615384612</v>
      </c>
      <c r="H42" s="22">
        <f t="shared" si="3"/>
        <v>45546.76923076922</v>
      </c>
    </row>
    <row r="43" spans="1:8" x14ac:dyDescent="0.3">
      <c r="A43" s="21" t="str">
        <f>Products_Master!A40</f>
        <v>SENS-VL53L1X</v>
      </c>
      <c r="B43" s="21" t="str">
        <f>Products_Master!D40</f>
        <v>ToF Sensor VL53L1X Module</v>
      </c>
      <c r="C43" s="21" t="str">
        <f>Products_Master!B40</f>
        <v>Sensor</v>
      </c>
      <c r="D43" s="22">
        <f>Products_Master!M40</f>
        <v>1506</v>
      </c>
      <c r="E43" s="21">
        <f>Products_Master!AR40</f>
        <v>12</v>
      </c>
      <c r="F43" s="22">
        <f t="shared" si="2"/>
        <v>18072</v>
      </c>
      <c r="G43" s="22">
        <f>Products_Master!AL40</f>
        <v>3006.2769230769227</v>
      </c>
      <c r="H43" s="22">
        <f t="shared" si="3"/>
        <v>18003.323076923072</v>
      </c>
    </row>
    <row r="44" spans="1:8" x14ac:dyDescent="0.3">
      <c r="A44" s="21" t="str">
        <f>Products_Master!A41</f>
        <v>SENS-RPLIDAR-A1</v>
      </c>
      <c r="B44" s="21" t="str">
        <f>Products_Master!D41</f>
        <v>LiDAR Module RPLIDAR A1</v>
      </c>
      <c r="C44" s="21" t="str">
        <f>Products_Master!B41</f>
        <v>Sensor</v>
      </c>
      <c r="D44" s="22">
        <f>Products_Master!M41</f>
        <v>7926</v>
      </c>
      <c r="E44" s="21">
        <f>Products_Master!AR41</f>
        <v>4</v>
      </c>
      <c r="F44" s="22">
        <f t="shared" si="2"/>
        <v>31704</v>
      </c>
      <c r="G44" s="22">
        <f>Products_Master!AL41</f>
        <v>14661.046153846153</v>
      </c>
      <c r="H44" s="22">
        <f t="shared" si="3"/>
        <v>26940.184615384613</v>
      </c>
    </row>
    <row r="45" spans="1:8" x14ac:dyDescent="0.3">
      <c r="A45" s="21" t="str">
        <f>Products_Master!A42</f>
        <v>SENS-GPS-NEO6M</v>
      </c>
      <c r="B45" s="21" t="str">
        <f>Products_Master!D42</f>
        <v>GPS Module NEO-6M</v>
      </c>
      <c r="C45" s="21" t="str">
        <f>Products_Master!B42</f>
        <v>Sensor</v>
      </c>
      <c r="D45" s="22">
        <f>Products_Master!M42</f>
        <v>239</v>
      </c>
      <c r="E45" s="21">
        <f>Products_Master!AR42</f>
        <v>12</v>
      </c>
      <c r="F45" s="22">
        <f t="shared" si="2"/>
        <v>2868</v>
      </c>
      <c r="G45" s="22">
        <f>Products_Master!AL42</f>
        <v>706.18461538461531</v>
      </c>
      <c r="H45" s="22">
        <f t="shared" si="3"/>
        <v>5606.2153846153833</v>
      </c>
    </row>
    <row r="46" spans="1:8" x14ac:dyDescent="0.3">
      <c r="A46" s="21" t="str">
        <f>Products_Master!A43</f>
        <v>SENS-BMP280</v>
      </c>
      <c r="B46" s="21" t="str">
        <f>Products_Master!D43</f>
        <v>Pressure Sensor BMP280</v>
      </c>
      <c r="C46" s="21" t="str">
        <f>Products_Master!B43</f>
        <v>Sensor</v>
      </c>
      <c r="D46" s="22">
        <f>Products_Master!M43</f>
        <v>29</v>
      </c>
      <c r="E46" s="21">
        <f>Products_Master!AR43</f>
        <v>0</v>
      </c>
      <c r="F46" s="22">
        <f t="shared" si="2"/>
        <v>0</v>
      </c>
      <c r="G46" s="22">
        <f>Products_Master!AL43</f>
        <v>324.95384615384614</v>
      </c>
      <c r="H46" s="22">
        <f t="shared" si="3"/>
        <v>0</v>
      </c>
    </row>
    <row r="47" spans="1:8" x14ac:dyDescent="0.3">
      <c r="A47" s="21" t="str">
        <f>Products_Master!A44</f>
        <v>SENS-HCSR04</v>
      </c>
      <c r="B47" s="21" t="str">
        <f>Products_Master!D44</f>
        <v>Ultrasonic HC-SR04</v>
      </c>
      <c r="C47" s="21" t="str">
        <f>Products_Master!B44</f>
        <v>Sensor</v>
      </c>
      <c r="D47" s="22">
        <f>Products_Master!M44</f>
        <v>59</v>
      </c>
      <c r="E47" s="21">
        <f>Products_Master!AR44</f>
        <v>40</v>
      </c>
      <c r="F47" s="22">
        <f t="shared" si="2"/>
        <v>2360</v>
      </c>
      <c r="G47" s="22">
        <f>Products_Master!AL44</f>
        <v>379.41538461538454</v>
      </c>
      <c r="H47" s="22">
        <f t="shared" si="3"/>
        <v>12816.615384615381</v>
      </c>
    </row>
    <row r="48" spans="1:8" x14ac:dyDescent="0.3">
      <c r="A48" s="21" t="str">
        <f>Products_Master!A45</f>
        <v>MCU-ESP32</v>
      </c>
      <c r="B48" s="21" t="str">
        <f>Products_Master!D45</f>
        <v>ESP32 DevKit</v>
      </c>
      <c r="C48" s="21" t="str">
        <f>Products_Master!B45</f>
        <v>Microcontroller</v>
      </c>
      <c r="D48" s="22">
        <f>Products_Master!M45</f>
        <v>339</v>
      </c>
      <c r="E48" s="21">
        <f>Products_Master!AR45</f>
        <v>40</v>
      </c>
      <c r="F48" s="22">
        <f t="shared" si="2"/>
        <v>13560</v>
      </c>
      <c r="G48" s="22">
        <f>Products_Master!AL45</f>
        <v>887.72307692307686</v>
      </c>
      <c r="H48" s="22">
        <f t="shared" si="3"/>
        <v>21948.923076923074</v>
      </c>
    </row>
    <row r="49" spans="1:8" x14ac:dyDescent="0.3">
      <c r="A49" s="21" t="str">
        <f>Products_Master!A46</f>
        <v>MCU-STM32F401</v>
      </c>
      <c r="B49" s="21" t="str">
        <f>Products_Master!D46</f>
        <v>STM32F401 Dev Board</v>
      </c>
      <c r="C49" s="21" t="str">
        <f>Products_Master!B46</f>
        <v>Microcontroller</v>
      </c>
      <c r="D49" s="22">
        <f>Products_Master!M46</f>
        <v>284</v>
      </c>
      <c r="E49" s="21">
        <f>Products_Master!AR46</f>
        <v>20</v>
      </c>
      <c r="F49" s="22">
        <f t="shared" si="2"/>
        <v>5680</v>
      </c>
      <c r="G49" s="22">
        <f>Products_Master!AL46</f>
        <v>787.87692307692305</v>
      </c>
      <c r="H49" s="22">
        <f t="shared" si="3"/>
        <v>10077.538461538461</v>
      </c>
    </row>
    <row r="50" spans="1:8" ht="28.8" customHeight="1" x14ac:dyDescent="0.3">
      <c r="A50" s="21" t="str">
        <f>Products_Master!A47</f>
        <v>MCU-RP2040-PICO</v>
      </c>
      <c r="B50" s="21" t="str">
        <f>Products_Master!D47</f>
        <v>Raspberry Pi Pico</v>
      </c>
      <c r="C50" s="21" t="str">
        <f>Products_Master!B47</f>
        <v>Microcontroller</v>
      </c>
      <c r="D50" s="22">
        <f>Products_Master!M47</f>
        <v>359</v>
      </c>
      <c r="E50" s="21">
        <f>Products_Master!AR47</f>
        <v>20</v>
      </c>
      <c r="F50" s="22">
        <f t="shared" si="2"/>
        <v>7180</v>
      </c>
      <c r="G50" s="22">
        <f>Products_Master!AL47</f>
        <v>924.03076923076924</v>
      </c>
      <c r="H50" s="22">
        <f t="shared" si="3"/>
        <v>11300.615384615385</v>
      </c>
    </row>
    <row r="51" spans="1:8" ht="28.8" customHeight="1" x14ac:dyDescent="0.3">
      <c r="A51" s="21" t="str">
        <f>Products_Master!A48</f>
        <v>MCU-ARD-UNO-R4</v>
      </c>
      <c r="B51" s="21" t="str">
        <f>Products_Master!D48</f>
        <v>Arduino UNO R4</v>
      </c>
      <c r="C51" s="21" t="str">
        <f>Products_Master!B48</f>
        <v>Microcontroller</v>
      </c>
      <c r="D51" s="22">
        <f>Products_Master!M48</f>
        <v>699</v>
      </c>
      <c r="E51" s="21">
        <f>Products_Master!AR48</f>
        <v>0</v>
      </c>
      <c r="F51" s="22">
        <f t="shared" si="2"/>
        <v>0</v>
      </c>
      <c r="G51" s="22">
        <f>Products_Master!AL48</f>
        <v>1541.2615384615383</v>
      </c>
      <c r="H51" s="22">
        <f t="shared" si="3"/>
        <v>0</v>
      </c>
    </row>
    <row r="52" spans="1:8" ht="28.8" customHeight="1" x14ac:dyDescent="0.3">
      <c r="A52" s="21" t="str">
        <f>Products_Master!A49</f>
        <v>MCU-ARD-NANO-EVERY</v>
      </c>
      <c r="B52" s="21" t="str">
        <f>Products_Master!D49</f>
        <v>Arduino Nano Every</v>
      </c>
      <c r="C52" s="21" t="str">
        <f>Products_Master!B49</f>
        <v>Microcontroller</v>
      </c>
      <c r="D52" s="22">
        <f>Products_Master!M49</f>
        <v>700</v>
      </c>
      <c r="E52" s="21">
        <f>Products_Master!AR49</f>
        <v>0</v>
      </c>
      <c r="F52" s="22">
        <f t="shared" si="2"/>
        <v>0</v>
      </c>
      <c r="G52" s="22">
        <f>Products_Master!AL49</f>
        <v>1543.0769230769231</v>
      </c>
      <c r="H52" s="22">
        <f t="shared" si="3"/>
        <v>0</v>
      </c>
    </row>
    <row r="53" spans="1:8" x14ac:dyDescent="0.3">
      <c r="A53" s="21" t="str">
        <f>Products_Master!A50</f>
        <v>CONN-CP2102</v>
      </c>
      <c r="B53" s="21" t="str">
        <f>Products_Master!D50</f>
        <v>USB-UART CP2102 Module</v>
      </c>
      <c r="C53" s="21" t="str">
        <f>Products_Master!B50</f>
        <v>Connectivity</v>
      </c>
      <c r="D53" s="22">
        <f>Products_Master!M50</f>
        <v>107</v>
      </c>
      <c r="E53" s="21">
        <f>Products_Master!AR50</f>
        <v>60</v>
      </c>
      <c r="F53" s="22">
        <f t="shared" si="2"/>
        <v>6420</v>
      </c>
      <c r="G53" s="22">
        <f>Products_Master!AL50</f>
        <v>466.55384615384611</v>
      </c>
      <c r="H53" s="22">
        <f t="shared" si="3"/>
        <v>21573.230769230766</v>
      </c>
    </row>
    <row r="54" spans="1:8" x14ac:dyDescent="0.3">
      <c r="A54" s="21" t="str">
        <f>Products_Master!A51</f>
        <v>CONN-FT232</v>
      </c>
      <c r="B54" s="21" t="str">
        <f>Products_Master!D51</f>
        <v>USB-UART FT232RL Module</v>
      </c>
      <c r="C54" s="21" t="str">
        <f>Products_Master!B51</f>
        <v>Connectivity</v>
      </c>
      <c r="D54" s="22">
        <f>Products_Master!M51</f>
        <v>220</v>
      </c>
      <c r="E54" s="21">
        <f>Products_Master!AR51</f>
        <v>20</v>
      </c>
      <c r="F54" s="22">
        <f t="shared" si="2"/>
        <v>4400</v>
      </c>
      <c r="G54" s="22">
        <f>Products_Master!AL51</f>
        <v>671.69230769230762</v>
      </c>
      <c r="H54" s="22">
        <f t="shared" si="3"/>
        <v>9033.8461538461524</v>
      </c>
    </row>
    <row r="55" spans="1:8" x14ac:dyDescent="0.3">
      <c r="A55" s="21" t="str">
        <f>Products_Master!A52</f>
        <v>CONN-FT4232H</v>
      </c>
      <c r="B55" s="21" t="str">
        <f>Products_Master!D52</f>
        <v>USB-JTAG FT4232H</v>
      </c>
      <c r="C55" s="21" t="str">
        <f>Products_Master!B52</f>
        <v>Connectivity</v>
      </c>
      <c r="D55" s="22">
        <f>Products_Master!M52</f>
        <v>550</v>
      </c>
      <c r="E55" s="21">
        <f>Products_Master!AR52</f>
        <v>12</v>
      </c>
      <c r="F55" s="22">
        <f t="shared" si="2"/>
        <v>6600</v>
      </c>
      <c r="G55" s="22">
        <f>Products_Master!AL52</f>
        <v>1270.7692307692307</v>
      </c>
      <c r="H55" s="22">
        <f t="shared" si="3"/>
        <v>8649.2307692307695</v>
      </c>
    </row>
    <row r="56" spans="1:8" x14ac:dyDescent="0.3">
      <c r="A56" s="21" t="str">
        <f>Products_Master!A53</f>
        <v>CONN-LAN8720</v>
      </c>
      <c r="B56" s="21" t="str">
        <f>Products_Master!D53</f>
        <v>Ethernet PHY Module LAN8720</v>
      </c>
      <c r="C56" s="21" t="str">
        <f>Products_Master!B53</f>
        <v>Connectivity</v>
      </c>
      <c r="D56" s="22">
        <f>Products_Master!M53</f>
        <v>120</v>
      </c>
      <c r="E56" s="21">
        <f>Products_Master!AR53</f>
        <v>0</v>
      </c>
      <c r="F56" s="22">
        <f t="shared" si="2"/>
        <v>0</v>
      </c>
      <c r="G56" s="22">
        <f>Products_Master!AL53</f>
        <v>490.15384615384608</v>
      </c>
      <c r="H56" s="22">
        <f t="shared" si="3"/>
        <v>0</v>
      </c>
    </row>
    <row r="57" spans="1:8" x14ac:dyDescent="0.3">
      <c r="A57" s="21" t="str">
        <f>Products_Master!A54</f>
        <v>CONN-FE1-1S</v>
      </c>
      <c r="B57" s="21" t="str">
        <f>Products_Master!D54</f>
        <v>USB Hub Module FE1.1s</v>
      </c>
      <c r="C57" s="21" t="str">
        <f>Products_Master!B54</f>
        <v>Connectivity</v>
      </c>
      <c r="D57" s="22">
        <f>Products_Master!M54</f>
        <v>180</v>
      </c>
      <c r="E57" s="21">
        <f>Products_Master!AR54</f>
        <v>0</v>
      </c>
      <c r="F57" s="22">
        <f t="shared" si="2"/>
        <v>0</v>
      </c>
      <c r="G57" s="22">
        <f>Products_Master!AL54</f>
        <v>599.07692307692298</v>
      </c>
      <c r="H57" s="22">
        <f t="shared" si="3"/>
        <v>0</v>
      </c>
    </row>
    <row r="58" spans="1:8" x14ac:dyDescent="0.3">
      <c r="A58" s="21" t="str">
        <f>Products_Master!A55</f>
        <v>MEM-W25Q128</v>
      </c>
      <c r="B58" s="21" t="str">
        <f>Products_Master!D55</f>
        <v>QSPI NOR Flash 128Mbit</v>
      </c>
      <c r="C58" s="21" t="str">
        <f>Products_Master!B55</f>
        <v>Memory</v>
      </c>
      <c r="D58" s="22">
        <f>Products_Master!M55</f>
        <v>161</v>
      </c>
      <c r="E58" s="21">
        <f>Products_Master!AR55</f>
        <v>100</v>
      </c>
      <c r="F58" s="22">
        <f t="shared" si="2"/>
        <v>16100</v>
      </c>
      <c r="G58" s="22">
        <f>Products_Master!AL55</f>
        <v>564.58461538461529</v>
      </c>
      <c r="H58" s="22">
        <f t="shared" si="3"/>
        <v>40358.461538461532</v>
      </c>
    </row>
    <row r="59" spans="1:8" x14ac:dyDescent="0.3">
      <c r="A59" s="21" t="str">
        <f>Products_Master!A56</f>
        <v>MEM-DDR3-512</v>
      </c>
      <c r="B59" s="21" t="str">
        <f>Products_Master!D56</f>
        <v>DDR3 SDRAM 512MB (x16)</v>
      </c>
      <c r="C59" s="21" t="str">
        <f>Products_Master!B56</f>
        <v>Memory</v>
      </c>
      <c r="D59" s="22">
        <f>Products_Master!M56</f>
        <v>650</v>
      </c>
      <c r="E59" s="21">
        <f>Products_Master!AR56</f>
        <v>0</v>
      </c>
      <c r="F59" s="22">
        <f t="shared" si="2"/>
        <v>0</v>
      </c>
      <c r="G59" s="22">
        <f>Products_Master!AL56</f>
        <v>1452.3076923076922</v>
      </c>
      <c r="H59" s="22">
        <f t="shared" si="3"/>
        <v>0</v>
      </c>
    </row>
    <row r="60" spans="1:8" x14ac:dyDescent="0.3">
      <c r="A60" s="21" t="str">
        <f>Products_Master!A57</f>
        <v>MEM-EMMC-32</v>
      </c>
      <c r="B60" s="21" t="str">
        <f>Products_Master!D57</f>
        <v>eMMC 32GB Module</v>
      </c>
      <c r="C60" s="21" t="str">
        <f>Products_Master!B57</f>
        <v>Memory</v>
      </c>
      <c r="D60" s="22">
        <f>Products_Master!M57</f>
        <v>450</v>
      </c>
      <c r="E60" s="21">
        <f>Products_Master!AR57</f>
        <v>0</v>
      </c>
      <c r="F60" s="22">
        <f t="shared" si="2"/>
        <v>0</v>
      </c>
      <c r="G60" s="22">
        <f>Products_Master!AL57</f>
        <v>1089.2307692307693</v>
      </c>
      <c r="H60" s="22">
        <f t="shared" si="3"/>
        <v>0</v>
      </c>
    </row>
    <row r="61" spans="1:8" ht="28.8" customHeight="1" x14ac:dyDescent="0.3">
      <c r="A61" s="21" t="str">
        <f>Products_Master!A58</f>
        <v>MEM-MICROSD-32</v>
      </c>
      <c r="B61" s="21" t="str">
        <f>Products_Master!D58</f>
        <v>microSD Card 32GB</v>
      </c>
      <c r="C61" s="21" t="str">
        <f>Products_Master!B58</f>
        <v>Memory</v>
      </c>
      <c r="D61" s="22">
        <f>Products_Master!M58</f>
        <v>719</v>
      </c>
      <c r="E61" s="21">
        <f>Products_Master!AR58</f>
        <v>40</v>
      </c>
      <c r="F61" s="22">
        <f t="shared" si="2"/>
        <v>28760</v>
      </c>
      <c r="G61" s="22">
        <f>Products_Master!AL58</f>
        <v>1577.5692307692304</v>
      </c>
      <c r="H61" s="22">
        <f t="shared" si="3"/>
        <v>34342.76923076922</v>
      </c>
    </row>
    <row r="62" spans="1:8" x14ac:dyDescent="0.3">
      <c r="A62" s="21" t="str">
        <f>Products_Master!A59</f>
        <v>PWR-MP2459</v>
      </c>
      <c r="B62" s="21" t="str">
        <f>Products_Master!D59</f>
        <v>Buck Converter Module MP2459</v>
      </c>
      <c r="C62" s="21" t="str">
        <f>Products_Master!B59</f>
        <v>Power</v>
      </c>
      <c r="D62" s="22">
        <f>Products_Master!M59</f>
        <v>18</v>
      </c>
      <c r="E62" s="21">
        <f>Products_Master!AR59</f>
        <v>100</v>
      </c>
      <c r="F62" s="22">
        <f t="shared" si="2"/>
        <v>1800</v>
      </c>
      <c r="G62" s="22">
        <f>Products_Master!AL59</f>
        <v>304.98461538461532</v>
      </c>
      <c r="H62" s="22">
        <f t="shared" si="3"/>
        <v>28698.461538461532</v>
      </c>
    </row>
    <row r="63" spans="1:8" x14ac:dyDescent="0.3">
      <c r="A63" s="21" t="str">
        <f>Products_Master!A60</f>
        <v>PWR-AMS1117</v>
      </c>
      <c r="B63" s="21" t="str">
        <f>Products_Master!D60</f>
        <v>LDO Regulator AMS1117</v>
      </c>
      <c r="C63" s="21" t="str">
        <f>Products_Master!B60</f>
        <v>Power</v>
      </c>
      <c r="D63" s="22">
        <f>Products_Master!M60</f>
        <v>13</v>
      </c>
      <c r="E63" s="21">
        <f>Products_Master!AR60</f>
        <v>100</v>
      </c>
      <c r="F63" s="22">
        <f t="shared" si="2"/>
        <v>1300</v>
      </c>
      <c r="G63" s="22">
        <f>Products_Master!AL60</f>
        <v>295.90769230769229</v>
      </c>
      <c r="H63" s="22">
        <f t="shared" si="3"/>
        <v>28290.769230769227</v>
      </c>
    </row>
    <row r="64" spans="1:8" x14ac:dyDescent="0.3">
      <c r="A64" s="21" t="str">
        <f>Products_Master!A61</f>
        <v>PWR-XL4015</v>
      </c>
      <c r="B64" s="21" t="str">
        <f>Products_Master!D61</f>
        <v>XL4015 5A Buck Module</v>
      </c>
      <c r="C64" s="21" t="str">
        <f>Products_Master!B61</f>
        <v>Power</v>
      </c>
      <c r="D64" s="22">
        <f>Products_Master!M61</f>
        <v>66</v>
      </c>
      <c r="E64" s="21">
        <f>Products_Master!AR61</f>
        <v>12</v>
      </c>
      <c r="F64" s="22">
        <f t="shared" si="2"/>
        <v>792</v>
      </c>
      <c r="G64" s="22">
        <f>Products_Master!AL61</f>
        <v>392.12307692307689</v>
      </c>
      <c r="H64" s="22">
        <f t="shared" si="3"/>
        <v>3913.4769230769225</v>
      </c>
    </row>
    <row r="65" spans="1:8" x14ac:dyDescent="0.3">
      <c r="A65" s="21" t="str">
        <f>Products_Master!A62</f>
        <v>PWR-LM2596</v>
      </c>
      <c r="B65" s="21" t="str">
        <f>Products_Master!D62</f>
        <v>LM2596 Buck Module</v>
      </c>
      <c r="C65" s="21" t="str">
        <f>Products_Master!B62</f>
        <v>Power</v>
      </c>
      <c r="D65" s="22">
        <f>Products_Master!M62</f>
        <v>39</v>
      </c>
      <c r="E65" s="21">
        <f>Products_Master!AR62</f>
        <v>40</v>
      </c>
      <c r="F65" s="22">
        <f t="shared" si="2"/>
        <v>1560</v>
      </c>
      <c r="G65" s="22">
        <f>Products_Master!AL62</f>
        <v>343.10769230769228</v>
      </c>
      <c r="H65" s="22">
        <f t="shared" si="3"/>
        <v>12164.307692307691</v>
      </c>
    </row>
    <row r="66" spans="1:8" x14ac:dyDescent="0.3">
      <c r="A66" s="21" t="str">
        <f>Products_Master!A63</f>
        <v>PWR-IRFZ44</v>
      </c>
      <c r="B66" s="21" t="str">
        <f>Products_Master!D63</f>
        <v>MOSFET IRFZ44N</v>
      </c>
      <c r="C66" s="21" t="str">
        <f>Products_Master!B63</f>
        <v>Power</v>
      </c>
      <c r="D66" s="22">
        <f>Products_Master!M63</f>
        <v>30</v>
      </c>
      <c r="E66" s="21">
        <f>Products_Master!AR63</f>
        <v>0</v>
      </c>
      <c r="F66" s="22">
        <f t="shared" si="2"/>
        <v>0</v>
      </c>
      <c r="G66" s="22">
        <f>Products_Master!AL63</f>
        <v>326.76923076923072</v>
      </c>
      <c r="H66" s="22">
        <f t="shared" si="3"/>
        <v>0</v>
      </c>
    </row>
    <row r="67" spans="1:8" x14ac:dyDescent="0.3">
      <c r="A67" s="21" t="str">
        <f>Products_Master!A64</f>
        <v>PWR-MLCC-KIT</v>
      </c>
      <c r="B67" s="21" t="str">
        <f>Products_Master!D64</f>
        <v>MLCC Capacitor Assortment Kit</v>
      </c>
      <c r="C67" s="21" t="str">
        <f>Products_Master!B64</f>
        <v>Power</v>
      </c>
      <c r="D67" s="22">
        <f>Products_Master!M64</f>
        <v>450</v>
      </c>
      <c r="E67" s="21">
        <f>Products_Master!AR64</f>
        <v>10</v>
      </c>
      <c r="F67" s="22">
        <f t="shared" si="2"/>
        <v>4500</v>
      </c>
      <c r="G67" s="22">
        <f>Products_Master!AL64</f>
        <v>1089.2307692307693</v>
      </c>
      <c r="H67" s="22">
        <f t="shared" si="3"/>
        <v>6392.3076923076933</v>
      </c>
    </row>
    <row r="68" spans="1:8" x14ac:dyDescent="0.3">
      <c r="A68" s="21" t="str">
        <f>Products_Master!A65</f>
        <v>PWR-IND-KIT</v>
      </c>
      <c r="B68" s="21" t="str">
        <f>Products_Master!D65</f>
        <v>Inductor Assortment Kit</v>
      </c>
      <c r="C68" s="21" t="str">
        <f>Products_Master!B65</f>
        <v>Power</v>
      </c>
      <c r="D68" s="22">
        <f>Products_Master!M65</f>
        <v>350</v>
      </c>
      <c r="E68" s="21">
        <f>Products_Master!AR65</f>
        <v>0</v>
      </c>
      <c r="F68" s="22">
        <f t="shared" si="2"/>
        <v>0</v>
      </c>
      <c r="G68" s="22">
        <f>Products_Master!AL65</f>
        <v>907.69230769230762</v>
      </c>
      <c r="H68" s="22">
        <f t="shared" si="3"/>
        <v>0</v>
      </c>
    </row>
    <row r="69" spans="1:8" x14ac:dyDescent="0.3">
      <c r="A69" s="21" t="str">
        <f>Products_Master!A66</f>
        <v>PWR-TVS-SMBJ</v>
      </c>
      <c r="B69" s="21" t="str">
        <f>Products_Master!D66</f>
        <v>TVS Diode SMBJ Series</v>
      </c>
      <c r="C69" s="21" t="str">
        <f>Products_Master!B66</f>
        <v>Power</v>
      </c>
      <c r="D69" s="22">
        <f>Products_Master!M66</f>
        <v>12</v>
      </c>
      <c r="E69" s="21">
        <f>Products_Master!AR66</f>
        <v>0</v>
      </c>
      <c r="F69" s="22">
        <f t="shared" ref="F69:F75" si="4">D69*E69</f>
        <v>0</v>
      </c>
      <c r="G69" s="22">
        <f>Products_Master!AL66</f>
        <v>294.09230769230766</v>
      </c>
      <c r="H69" s="22">
        <f t="shared" ref="H69:H75" si="5">(G69-D69)*E69</f>
        <v>0</v>
      </c>
    </row>
    <row r="70" spans="1:8" x14ac:dyDescent="0.3">
      <c r="A70" s="21" t="str">
        <f>Products_Master!A67</f>
        <v>TOOL-LOGIC-8CH</v>
      </c>
      <c r="B70" s="21" t="str">
        <f>Products_Master!D67</f>
        <v>8-Channel USB Logic Analyzer</v>
      </c>
      <c r="C70" s="21" t="str">
        <f>Products_Master!B67</f>
        <v>Tool</v>
      </c>
      <c r="D70" s="22">
        <f>Products_Master!M67</f>
        <v>355</v>
      </c>
      <c r="E70" s="21">
        <f>Products_Master!AR67</f>
        <v>4</v>
      </c>
      <c r="F70" s="22">
        <f t="shared" si="4"/>
        <v>1420</v>
      </c>
      <c r="G70" s="22">
        <f>Products_Master!AL67</f>
        <v>916.76923076923072</v>
      </c>
      <c r="H70" s="22">
        <f t="shared" si="5"/>
        <v>2247.0769230769229</v>
      </c>
    </row>
    <row r="71" spans="1:8" x14ac:dyDescent="0.3">
      <c r="A71" s="21" t="str">
        <f>Products_Master!A68</f>
        <v>TOOL-JTAG</v>
      </c>
      <c r="B71" s="21" t="str">
        <f>Products_Master!D68</f>
        <v>USB JTAG Programmer</v>
      </c>
      <c r="C71" s="21" t="str">
        <f>Products_Master!B68</f>
        <v>Tool</v>
      </c>
      <c r="D71" s="22">
        <f>Products_Master!M68</f>
        <v>3345</v>
      </c>
      <c r="E71" s="21">
        <f>Products_Master!AR68</f>
        <v>8</v>
      </c>
      <c r="F71" s="22">
        <f t="shared" si="4"/>
        <v>26760</v>
      </c>
      <c r="G71" s="22">
        <f>Products_Master!AL68</f>
        <v>6344.7692307692296</v>
      </c>
      <c r="H71" s="22">
        <f t="shared" si="5"/>
        <v>23998.153846153837</v>
      </c>
    </row>
    <row r="72" spans="1:8" x14ac:dyDescent="0.3">
      <c r="A72" s="21" t="str">
        <f>Products_Master!A69</f>
        <v>TOOL-DMM</v>
      </c>
      <c r="B72" s="21" t="str">
        <f>Products_Master!D69</f>
        <v>Digital Multimeter (basic)</v>
      </c>
      <c r="C72" s="21" t="str">
        <f>Products_Master!B69</f>
        <v>Tool</v>
      </c>
      <c r="D72" s="22">
        <f>Products_Master!M69</f>
        <v>1569</v>
      </c>
      <c r="E72" s="21">
        <f>Products_Master!AR69</f>
        <v>0</v>
      </c>
      <c r="F72" s="22">
        <f t="shared" si="4"/>
        <v>0</v>
      </c>
      <c r="G72" s="22">
        <f>Products_Master!AL69</f>
        <v>3120.6461538461535</v>
      </c>
      <c r="H72" s="22">
        <f t="shared" si="5"/>
        <v>0</v>
      </c>
    </row>
    <row r="73" spans="1:8" ht="28.8" customHeight="1" x14ac:dyDescent="0.3">
      <c r="A73" s="21" t="str">
        <f>Products_Master!A70</f>
        <v>ACC-BREADBOARD</v>
      </c>
      <c r="B73" s="21" t="str">
        <f>Products_Master!D70</f>
        <v>Breadboard (full size)</v>
      </c>
      <c r="C73" s="21" t="str">
        <f>Products_Master!B70</f>
        <v>Accessory</v>
      </c>
      <c r="D73" s="22">
        <f>Products_Master!M70</f>
        <v>54</v>
      </c>
      <c r="E73" s="21">
        <f>Products_Master!AR70</f>
        <v>50</v>
      </c>
      <c r="F73" s="22">
        <f t="shared" si="4"/>
        <v>2700</v>
      </c>
      <c r="G73" s="22">
        <f>Products_Master!AL70</f>
        <v>370.3384615384615</v>
      </c>
      <c r="H73" s="22">
        <f t="shared" si="5"/>
        <v>15816.923076923074</v>
      </c>
    </row>
    <row r="74" spans="1:8" x14ac:dyDescent="0.3">
      <c r="A74" s="21" t="str">
        <f>Products_Master!A71</f>
        <v>ACC-JUMPER</v>
      </c>
      <c r="B74" s="21" t="str">
        <f>Products_Master!D71</f>
        <v>Jumper Wires Pack</v>
      </c>
      <c r="C74" s="21" t="str">
        <f>Products_Master!B71</f>
        <v>Accessory</v>
      </c>
      <c r="D74" s="22">
        <f>Products_Master!M71</f>
        <v>115.83</v>
      </c>
      <c r="E74" s="21">
        <f>Products_Master!AR71</f>
        <v>80</v>
      </c>
      <c r="F74" s="22">
        <f t="shared" si="4"/>
        <v>9266.4</v>
      </c>
      <c r="G74" s="22">
        <f>Products_Master!AL71</f>
        <v>482.58369230769227</v>
      </c>
      <c r="H74" s="22">
        <f t="shared" si="5"/>
        <v>29340.295384615383</v>
      </c>
    </row>
    <row r="75" spans="1:8" x14ac:dyDescent="0.3">
      <c r="A75" s="21" t="str">
        <f>Products_Master!A72</f>
        <v>TOOL-SOLDER-KIT</v>
      </c>
      <c r="B75" s="21" t="str">
        <f>Products_Master!D72</f>
        <v>Soldering Kit</v>
      </c>
      <c r="C75" s="21" t="str">
        <f>Products_Master!B72</f>
        <v>Tool</v>
      </c>
      <c r="D75" s="22">
        <f>Products_Master!M72</f>
        <v>399</v>
      </c>
      <c r="E75" s="21">
        <f>Products_Master!AR72</f>
        <v>16</v>
      </c>
      <c r="F75" s="22">
        <f t="shared" si="4"/>
        <v>6384</v>
      </c>
      <c r="G75" s="22">
        <f>Products_Master!AL72</f>
        <v>996.64615384615377</v>
      </c>
      <c r="H75" s="22">
        <f t="shared" si="5"/>
        <v>9562.3384615384603</v>
      </c>
    </row>
    <row r="77" spans="1:8" x14ac:dyDescent="0.3">
      <c r="E77" s="2" t="s">
        <v>1000</v>
      </c>
      <c r="F77" s="23">
        <f>SUM(F5:F75)</f>
        <v>1245977.3999999999</v>
      </c>
      <c r="H77" s="23">
        <f>SUM(H5:H75)</f>
        <v>1317395.4184615386</v>
      </c>
    </row>
  </sheetData>
  <autoFilter ref="A4:H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6" customWidth="1"/>
    <col min="3" max="3" width="24" customWidth="1"/>
    <col min="4" max="4" width="8" customWidth="1"/>
    <col min="5" max="5" width="16" customWidth="1"/>
    <col min="6" max="6" width="18" customWidth="1"/>
    <col min="7" max="7" width="26" customWidth="1"/>
    <col min="8" max="8" width="18" customWidth="1"/>
  </cols>
  <sheetData>
    <row r="1" spans="1:8" ht="18" customHeight="1" x14ac:dyDescent="0.35">
      <c r="A1" s="53" t="s">
        <v>1001</v>
      </c>
      <c r="B1" s="52"/>
      <c r="C1" s="52"/>
      <c r="D1" s="52"/>
      <c r="E1" s="52"/>
      <c r="F1" s="52"/>
      <c r="G1" s="52"/>
      <c r="H1" s="52"/>
    </row>
    <row r="2" spans="1:8" x14ac:dyDescent="0.3">
      <c r="A2" s="51" t="s">
        <v>1002</v>
      </c>
      <c r="B2" s="52"/>
      <c r="C2" s="52"/>
      <c r="D2" s="52"/>
      <c r="E2" s="52"/>
      <c r="F2" s="52"/>
      <c r="G2" s="52"/>
      <c r="H2" s="52"/>
    </row>
    <row r="3" spans="1:8" x14ac:dyDescent="0.3">
      <c r="A3" s="6" t="s">
        <v>1003</v>
      </c>
      <c r="B3" s="6" t="s">
        <v>900</v>
      </c>
      <c r="C3" s="6" t="s">
        <v>1004</v>
      </c>
      <c r="D3" s="6" t="s">
        <v>997</v>
      </c>
      <c r="E3" s="6" t="s">
        <v>1005</v>
      </c>
      <c r="F3" s="6" t="s">
        <v>1006</v>
      </c>
      <c r="G3" s="6" t="s">
        <v>12</v>
      </c>
      <c r="H3" s="6" t="s">
        <v>998</v>
      </c>
    </row>
    <row r="4" spans="1:8" x14ac:dyDescent="0.3">
      <c r="A4" s="21">
        <v>1</v>
      </c>
      <c r="B4" s="21" t="s">
        <v>1007</v>
      </c>
      <c r="C4" s="21" t="s">
        <v>1008</v>
      </c>
      <c r="D4" s="24">
        <v>1</v>
      </c>
      <c r="E4" s="25">
        <v>2450</v>
      </c>
      <c r="F4" s="21" t="s">
        <v>1009</v>
      </c>
      <c r="G4" s="21" t="s">
        <v>1010</v>
      </c>
      <c r="H4" s="22">
        <f t="shared" ref="H4:H21" si="0">D4*E4</f>
        <v>2450</v>
      </c>
    </row>
    <row r="5" spans="1:8" x14ac:dyDescent="0.3">
      <c r="A5" s="21">
        <v>2</v>
      </c>
      <c r="B5" s="21" t="s">
        <v>1011</v>
      </c>
      <c r="C5" s="21" t="s">
        <v>1012</v>
      </c>
      <c r="D5" s="24">
        <v>1</v>
      </c>
      <c r="E5" s="25">
        <v>60</v>
      </c>
      <c r="F5" s="21" t="s">
        <v>1013</v>
      </c>
      <c r="G5" s="21" t="s">
        <v>1014</v>
      </c>
      <c r="H5" s="22">
        <f t="shared" si="0"/>
        <v>60</v>
      </c>
    </row>
    <row r="6" spans="1:8" ht="28.8" customHeight="1" x14ac:dyDescent="0.3">
      <c r="A6" s="21">
        <v>3</v>
      </c>
      <c r="B6" s="21" t="s">
        <v>1015</v>
      </c>
      <c r="C6" s="21" t="s">
        <v>1016</v>
      </c>
      <c r="D6" s="24">
        <v>1</v>
      </c>
      <c r="E6" s="25">
        <v>650</v>
      </c>
      <c r="F6" s="21" t="s">
        <v>165</v>
      </c>
      <c r="G6" s="21" t="s">
        <v>810</v>
      </c>
      <c r="H6" s="22">
        <f t="shared" si="0"/>
        <v>650</v>
      </c>
    </row>
    <row r="7" spans="1:8" x14ac:dyDescent="0.3">
      <c r="A7" s="21">
        <v>4</v>
      </c>
      <c r="B7" s="21" t="s">
        <v>1017</v>
      </c>
      <c r="C7" s="21" t="s">
        <v>1018</v>
      </c>
      <c r="D7" s="24">
        <v>1</v>
      </c>
      <c r="E7" s="25">
        <v>45</v>
      </c>
      <c r="F7" s="21" t="s">
        <v>194</v>
      </c>
      <c r="G7" s="21" t="s">
        <v>1019</v>
      </c>
      <c r="H7" s="22">
        <f t="shared" si="0"/>
        <v>45</v>
      </c>
    </row>
    <row r="8" spans="1:8" x14ac:dyDescent="0.3">
      <c r="A8" s="21">
        <v>5</v>
      </c>
      <c r="B8" s="21" t="s">
        <v>1017</v>
      </c>
      <c r="C8" s="21" t="s">
        <v>1020</v>
      </c>
      <c r="D8" s="24">
        <v>1</v>
      </c>
      <c r="E8" s="25">
        <v>30</v>
      </c>
      <c r="F8" s="21" t="s">
        <v>194</v>
      </c>
      <c r="G8" s="21" t="s">
        <v>1019</v>
      </c>
      <c r="H8" s="22">
        <f t="shared" si="0"/>
        <v>30</v>
      </c>
    </row>
    <row r="9" spans="1:8" x14ac:dyDescent="0.3">
      <c r="A9" s="21">
        <v>6</v>
      </c>
      <c r="B9" s="21" t="s">
        <v>1021</v>
      </c>
      <c r="C9" s="21" t="s">
        <v>1022</v>
      </c>
      <c r="D9" s="24">
        <v>1</v>
      </c>
      <c r="E9" s="25">
        <v>180</v>
      </c>
      <c r="F9" s="21" t="s">
        <v>165</v>
      </c>
      <c r="G9" s="21" t="s">
        <v>861</v>
      </c>
      <c r="H9" s="22">
        <f t="shared" si="0"/>
        <v>180</v>
      </c>
    </row>
    <row r="10" spans="1:8" x14ac:dyDescent="0.3">
      <c r="A10" s="21">
        <v>7</v>
      </c>
      <c r="B10" s="21" t="s">
        <v>1023</v>
      </c>
      <c r="C10" s="21" t="s">
        <v>1024</v>
      </c>
      <c r="D10" s="24">
        <v>3</v>
      </c>
      <c r="E10" s="25">
        <v>40</v>
      </c>
      <c r="F10" s="21" t="s">
        <v>194</v>
      </c>
      <c r="G10" s="21" t="s">
        <v>856</v>
      </c>
      <c r="H10" s="22">
        <f t="shared" si="0"/>
        <v>120</v>
      </c>
    </row>
    <row r="11" spans="1:8" x14ac:dyDescent="0.3">
      <c r="A11" s="21">
        <v>8</v>
      </c>
      <c r="B11" s="21" t="s">
        <v>1025</v>
      </c>
      <c r="C11" s="21" t="s">
        <v>1026</v>
      </c>
      <c r="D11" s="24">
        <v>2</v>
      </c>
      <c r="E11" s="25">
        <v>20</v>
      </c>
      <c r="F11" s="21" t="s">
        <v>194</v>
      </c>
      <c r="G11" s="21" t="s">
        <v>856</v>
      </c>
      <c r="H11" s="22">
        <f t="shared" si="0"/>
        <v>40</v>
      </c>
    </row>
    <row r="12" spans="1:8" x14ac:dyDescent="0.3">
      <c r="A12" s="21">
        <v>9</v>
      </c>
      <c r="B12" s="21" t="s">
        <v>1027</v>
      </c>
      <c r="C12" s="21" t="s">
        <v>760</v>
      </c>
      <c r="D12" s="24">
        <v>1</v>
      </c>
      <c r="E12" s="25">
        <v>95</v>
      </c>
      <c r="F12" s="21" t="s">
        <v>194</v>
      </c>
      <c r="G12" s="21" t="s">
        <v>1028</v>
      </c>
      <c r="H12" s="22">
        <f t="shared" si="0"/>
        <v>95</v>
      </c>
    </row>
    <row r="13" spans="1:8" x14ac:dyDescent="0.3">
      <c r="A13" s="21">
        <v>10</v>
      </c>
      <c r="B13" s="21" t="s">
        <v>1029</v>
      </c>
      <c r="C13" s="21" t="s">
        <v>781</v>
      </c>
      <c r="D13" s="24">
        <v>1</v>
      </c>
      <c r="E13" s="25">
        <v>550</v>
      </c>
      <c r="F13" s="21" t="s">
        <v>165</v>
      </c>
      <c r="G13" s="21" t="s">
        <v>1030</v>
      </c>
      <c r="H13" s="22">
        <f t="shared" si="0"/>
        <v>550</v>
      </c>
    </row>
    <row r="14" spans="1:8" x14ac:dyDescent="0.3">
      <c r="A14" s="21">
        <v>11</v>
      </c>
      <c r="B14" s="21" t="s">
        <v>1031</v>
      </c>
      <c r="C14" s="21" t="s">
        <v>1032</v>
      </c>
      <c r="D14" s="24">
        <v>1</v>
      </c>
      <c r="E14" s="25">
        <v>120</v>
      </c>
      <c r="F14" s="21" t="s">
        <v>194</v>
      </c>
      <c r="G14" s="21" t="s">
        <v>1033</v>
      </c>
      <c r="H14" s="22">
        <f t="shared" si="0"/>
        <v>120</v>
      </c>
    </row>
    <row r="15" spans="1:8" x14ac:dyDescent="0.3">
      <c r="A15" s="21">
        <v>12</v>
      </c>
      <c r="B15" s="21" t="s">
        <v>1034</v>
      </c>
      <c r="C15" s="21" t="s">
        <v>1035</v>
      </c>
      <c r="D15" s="24">
        <v>1</v>
      </c>
      <c r="E15" s="25">
        <v>200</v>
      </c>
      <c r="F15" s="21" t="s">
        <v>194</v>
      </c>
      <c r="G15" s="21" t="s">
        <v>1036</v>
      </c>
      <c r="H15" s="22">
        <f t="shared" si="0"/>
        <v>200</v>
      </c>
    </row>
    <row r="16" spans="1:8" x14ac:dyDescent="0.3">
      <c r="A16" s="21">
        <v>13</v>
      </c>
      <c r="B16" s="21" t="s">
        <v>1037</v>
      </c>
      <c r="C16" s="21" t="s">
        <v>920</v>
      </c>
      <c r="D16" s="24">
        <v>1</v>
      </c>
      <c r="E16" s="25">
        <v>45</v>
      </c>
      <c r="F16" s="21" t="s">
        <v>194</v>
      </c>
      <c r="G16" s="21" t="s">
        <v>856</v>
      </c>
      <c r="H16" s="22">
        <f t="shared" si="0"/>
        <v>45</v>
      </c>
    </row>
    <row r="17" spans="1:8" x14ac:dyDescent="0.3">
      <c r="A17" s="21">
        <v>14</v>
      </c>
      <c r="B17" s="21" t="s">
        <v>1038</v>
      </c>
      <c r="C17" s="21" t="s">
        <v>1039</v>
      </c>
      <c r="D17" s="24">
        <v>1</v>
      </c>
      <c r="E17" s="25">
        <v>60</v>
      </c>
      <c r="F17" s="21" t="s">
        <v>194</v>
      </c>
      <c r="G17" s="21" t="s">
        <v>1040</v>
      </c>
      <c r="H17" s="22">
        <f t="shared" si="0"/>
        <v>60</v>
      </c>
    </row>
    <row r="18" spans="1:8" x14ac:dyDescent="0.3">
      <c r="A18" s="21">
        <v>15</v>
      </c>
      <c r="B18" s="21" t="s">
        <v>1041</v>
      </c>
      <c r="C18" s="21" t="s">
        <v>1042</v>
      </c>
      <c r="D18" s="24">
        <v>1</v>
      </c>
      <c r="E18" s="25">
        <v>550</v>
      </c>
      <c r="F18" s="21" t="s">
        <v>1043</v>
      </c>
      <c r="G18" s="21" t="s">
        <v>1044</v>
      </c>
      <c r="H18" s="22">
        <f t="shared" si="0"/>
        <v>550</v>
      </c>
    </row>
    <row r="19" spans="1:8" x14ac:dyDescent="0.3">
      <c r="A19" s="21">
        <v>16</v>
      </c>
      <c r="B19" s="21" t="s">
        <v>1045</v>
      </c>
      <c r="C19" s="21" t="s">
        <v>1046</v>
      </c>
      <c r="D19" s="24">
        <v>1</v>
      </c>
      <c r="E19" s="25">
        <v>300</v>
      </c>
      <c r="F19" s="21" t="s">
        <v>1047</v>
      </c>
      <c r="G19" s="21" t="s">
        <v>1048</v>
      </c>
      <c r="H19" s="22">
        <f t="shared" si="0"/>
        <v>300</v>
      </c>
    </row>
    <row r="20" spans="1:8" x14ac:dyDescent="0.3">
      <c r="A20" s="21">
        <v>17</v>
      </c>
      <c r="B20" s="21" t="s">
        <v>1049</v>
      </c>
      <c r="C20" s="21" t="s">
        <v>1050</v>
      </c>
      <c r="D20" s="24">
        <v>1</v>
      </c>
      <c r="E20" s="25">
        <v>100</v>
      </c>
      <c r="F20" s="21" t="s">
        <v>1051</v>
      </c>
      <c r="G20" s="21"/>
      <c r="H20" s="22">
        <f t="shared" si="0"/>
        <v>100</v>
      </c>
    </row>
    <row r="21" spans="1:8" x14ac:dyDescent="0.3">
      <c r="A21" s="21">
        <v>18</v>
      </c>
      <c r="B21" s="21" t="s">
        <v>1052</v>
      </c>
      <c r="C21" s="21" t="s">
        <v>1053</v>
      </c>
      <c r="D21" s="24">
        <v>1</v>
      </c>
      <c r="E21" s="25">
        <v>60</v>
      </c>
      <c r="F21" s="21" t="s">
        <v>194</v>
      </c>
      <c r="G21" s="21"/>
      <c r="H21" s="22">
        <f t="shared" si="0"/>
        <v>60</v>
      </c>
    </row>
    <row r="23" spans="1:8" x14ac:dyDescent="0.3">
      <c r="G23" s="2" t="s">
        <v>1054</v>
      </c>
      <c r="H23" s="23">
        <f>SUM(H4:H22)</f>
        <v>5655</v>
      </c>
    </row>
  </sheetData>
  <autoFilter ref="A3:H3" xr:uid="{00000000-0009-0000-0000-000006000000}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52" customWidth="1"/>
    <col min="3" max="3" width="16" customWidth="1"/>
    <col min="4" max="4" width="12" customWidth="1"/>
    <col min="5" max="5" width="14" customWidth="1"/>
    <col min="6" max="6" width="50" customWidth="1"/>
  </cols>
  <sheetData>
    <row r="1" spans="1:6" ht="18" customHeight="1" x14ac:dyDescent="0.35">
      <c r="A1" s="53" t="s">
        <v>1055</v>
      </c>
      <c r="B1" s="52"/>
      <c r="C1" s="52"/>
      <c r="D1" s="52"/>
      <c r="E1" s="52"/>
      <c r="F1" s="52"/>
    </row>
    <row r="2" spans="1:6" x14ac:dyDescent="0.3">
      <c r="A2" s="51" t="s">
        <v>1056</v>
      </c>
      <c r="B2" s="52"/>
      <c r="C2" s="52"/>
      <c r="D2" s="52"/>
      <c r="E2" s="52"/>
      <c r="F2" s="52"/>
    </row>
    <row r="3" spans="1:6" x14ac:dyDescent="0.3">
      <c r="A3" s="6" t="s">
        <v>1057</v>
      </c>
      <c r="B3" s="6" t="s">
        <v>1058</v>
      </c>
      <c r="C3" s="6" t="s">
        <v>1059</v>
      </c>
      <c r="D3" s="6" t="s">
        <v>1060</v>
      </c>
      <c r="E3" s="6" t="s">
        <v>1061</v>
      </c>
      <c r="F3" s="6" t="s">
        <v>1062</v>
      </c>
    </row>
    <row r="4" spans="1:6" x14ac:dyDescent="0.3">
      <c r="A4" s="3" t="s">
        <v>1063</v>
      </c>
      <c r="B4" s="3" t="s">
        <v>1064</v>
      </c>
      <c r="C4" s="3" t="s">
        <v>1065</v>
      </c>
      <c r="D4" s="3" t="s">
        <v>1066</v>
      </c>
      <c r="E4" s="3"/>
      <c r="F4" s="3"/>
    </row>
    <row r="5" spans="1:6" x14ac:dyDescent="0.3">
      <c r="A5" s="3" t="s">
        <v>1063</v>
      </c>
      <c r="B5" s="3" t="s">
        <v>1067</v>
      </c>
      <c r="C5" s="3" t="s">
        <v>1065</v>
      </c>
      <c r="D5" s="3" t="s">
        <v>1066</v>
      </c>
      <c r="E5" s="3"/>
      <c r="F5" s="3"/>
    </row>
    <row r="6" spans="1:6" x14ac:dyDescent="0.3">
      <c r="A6" s="3" t="s">
        <v>1063</v>
      </c>
      <c r="B6" s="3" t="s">
        <v>1068</v>
      </c>
      <c r="C6" s="3" t="s">
        <v>1065</v>
      </c>
      <c r="D6" s="3" t="s">
        <v>1066</v>
      </c>
      <c r="E6" s="3"/>
      <c r="F6" s="3"/>
    </row>
    <row r="7" spans="1:6" x14ac:dyDescent="0.3">
      <c r="A7" s="3" t="s">
        <v>1063</v>
      </c>
      <c r="B7" s="3" t="s">
        <v>1069</v>
      </c>
      <c r="C7" s="3" t="s">
        <v>1065</v>
      </c>
      <c r="D7" s="3" t="s">
        <v>1066</v>
      </c>
      <c r="E7" s="3"/>
      <c r="F7" s="3"/>
    </row>
    <row r="8" spans="1:6" x14ac:dyDescent="0.3">
      <c r="A8" s="3" t="s">
        <v>1063</v>
      </c>
      <c r="B8" s="3" t="s">
        <v>1070</v>
      </c>
      <c r="C8" s="3" t="s">
        <v>1065</v>
      </c>
      <c r="D8" s="3" t="s">
        <v>1066</v>
      </c>
      <c r="E8" s="3"/>
      <c r="F8" s="3"/>
    </row>
    <row r="9" spans="1:6" x14ac:dyDescent="0.3">
      <c r="A9" s="3" t="s">
        <v>1063</v>
      </c>
      <c r="B9" s="3" t="s">
        <v>1071</v>
      </c>
      <c r="C9" s="3" t="s">
        <v>1065</v>
      </c>
      <c r="D9" s="3" t="s">
        <v>1066</v>
      </c>
      <c r="E9" s="3"/>
      <c r="F9" s="3"/>
    </row>
    <row r="10" spans="1:6" x14ac:dyDescent="0.3">
      <c r="A10" s="3" t="s">
        <v>1063</v>
      </c>
      <c r="B10" s="3" t="s">
        <v>1072</v>
      </c>
      <c r="C10" s="3" t="s">
        <v>1065</v>
      </c>
      <c r="D10" s="3" t="s">
        <v>1066</v>
      </c>
      <c r="E10" s="3"/>
      <c r="F10" s="3"/>
    </row>
    <row r="11" spans="1:6" x14ac:dyDescent="0.3">
      <c r="A11" s="3" t="s">
        <v>1073</v>
      </c>
      <c r="B11" s="3" t="s">
        <v>1074</v>
      </c>
      <c r="C11" s="3" t="s">
        <v>1065</v>
      </c>
      <c r="D11" s="3" t="s">
        <v>1066</v>
      </c>
      <c r="E11" s="3"/>
      <c r="F11" s="3"/>
    </row>
    <row r="12" spans="1:6" x14ac:dyDescent="0.3">
      <c r="A12" s="3" t="s">
        <v>1073</v>
      </c>
      <c r="B12" s="3" t="s">
        <v>1075</v>
      </c>
      <c r="C12" s="3" t="s">
        <v>1065</v>
      </c>
      <c r="D12" s="3" t="s">
        <v>1066</v>
      </c>
      <c r="E12" s="3"/>
      <c r="F12" s="3"/>
    </row>
    <row r="13" spans="1:6" x14ac:dyDescent="0.3">
      <c r="A13" s="3" t="s">
        <v>1073</v>
      </c>
      <c r="B13" s="3" t="s">
        <v>1076</v>
      </c>
      <c r="C13" s="3" t="s">
        <v>1065</v>
      </c>
      <c r="D13" s="3" t="s">
        <v>1066</v>
      </c>
      <c r="E13" s="3"/>
      <c r="F13" s="3"/>
    </row>
    <row r="14" spans="1:6" x14ac:dyDescent="0.3">
      <c r="A14" s="3" t="s">
        <v>1073</v>
      </c>
      <c r="B14" s="3" t="s">
        <v>1077</v>
      </c>
      <c r="C14" s="3" t="s">
        <v>1065</v>
      </c>
      <c r="D14" s="3" t="s">
        <v>1066</v>
      </c>
      <c r="E14" s="3"/>
      <c r="F14" s="3"/>
    </row>
    <row r="15" spans="1:6" ht="28.8" customHeight="1" x14ac:dyDescent="0.3">
      <c r="A15" s="3" t="s">
        <v>135</v>
      </c>
      <c r="B15" s="3" t="s">
        <v>1078</v>
      </c>
      <c r="C15" s="3" t="s">
        <v>1065</v>
      </c>
      <c r="D15" s="3" t="s">
        <v>1066</v>
      </c>
      <c r="E15" s="3"/>
      <c r="F15" s="3"/>
    </row>
    <row r="16" spans="1:6" ht="28.8" customHeight="1" x14ac:dyDescent="0.3">
      <c r="A16" s="3" t="s">
        <v>135</v>
      </c>
      <c r="B16" s="3" t="s">
        <v>1079</v>
      </c>
      <c r="C16" s="3" t="s">
        <v>1065</v>
      </c>
      <c r="D16" s="3" t="s">
        <v>1066</v>
      </c>
      <c r="E16" s="3"/>
      <c r="F16" s="3"/>
    </row>
    <row r="17" spans="1:6" x14ac:dyDescent="0.3">
      <c r="A17" s="3" t="s">
        <v>135</v>
      </c>
      <c r="B17" s="3" t="s">
        <v>1080</v>
      </c>
      <c r="C17" s="3" t="s">
        <v>1065</v>
      </c>
      <c r="D17" s="3" t="s">
        <v>1066</v>
      </c>
      <c r="E17" s="3"/>
      <c r="F17" s="3"/>
    </row>
  </sheetData>
  <mergeCells count="2">
    <mergeCell ref="A2:F2"/>
    <mergeCell ref="A1:F1"/>
  </mergeCells>
  <dataValidations count="1">
    <dataValidation type="list" allowBlank="1" sqref="D4:D18" xr:uid="{00000000-0002-0000-0700-000000000000}">
      <formula1>"TODO,IN_PROGRESS,DONE,BLOCKED"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4" width="32" customWidth="1"/>
    <col min="5" max="5" width="34" customWidth="1"/>
    <col min="6" max="6" width="12" customWidth="1"/>
    <col min="7" max="7" width="34" customWidth="1"/>
  </cols>
  <sheetData>
    <row r="1" spans="1:7" ht="18" customHeight="1" x14ac:dyDescent="0.35">
      <c r="A1" s="53" t="s">
        <v>1081</v>
      </c>
      <c r="B1" s="52"/>
      <c r="C1" s="52"/>
      <c r="D1" s="52"/>
      <c r="E1" s="52"/>
      <c r="F1" s="52"/>
      <c r="G1" s="52"/>
    </row>
    <row r="2" spans="1:7" x14ac:dyDescent="0.3">
      <c r="A2" s="51" t="s">
        <v>1082</v>
      </c>
      <c r="B2" s="52"/>
      <c r="C2" s="52"/>
      <c r="D2" s="52"/>
      <c r="E2" s="52"/>
      <c r="F2" s="52"/>
      <c r="G2" s="52"/>
    </row>
    <row r="3" spans="1:7" x14ac:dyDescent="0.3">
      <c r="A3" s="6" t="s">
        <v>1083</v>
      </c>
      <c r="B3" s="6" t="s">
        <v>1084</v>
      </c>
      <c r="C3" s="6" t="s">
        <v>1085</v>
      </c>
      <c r="D3" s="6" t="s">
        <v>1086</v>
      </c>
      <c r="E3" s="6" t="s">
        <v>1087</v>
      </c>
      <c r="F3" s="6" t="s">
        <v>1088</v>
      </c>
      <c r="G3" s="6" t="s">
        <v>12</v>
      </c>
    </row>
    <row r="4" spans="1:7" x14ac:dyDescent="0.3">
      <c r="A4" s="3" t="s">
        <v>1089</v>
      </c>
      <c r="B4" s="3" t="s">
        <v>1090</v>
      </c>
      <c r="C4" s="3" t="s">
        <v>1091</v>
      </c>
      <c r="D4" s="3" t="s">
        <v>1092</v>
      </c>
      <c r="E4" s="3" t="s">
        <v>1093</v>
      </c>
      <c r="F4" s="3" t="s">
        <v>1094</v>
      </c>
      <c r="G4" s="3" t="s">
        <v>1095</v>
      </c>
    </row>
    <row r="5" spans="1:7" x14ac:dyDescent="0.3">
      <c r="A5" s="3" t="s">
        <v>1089</v>
      </c>
      <c r="B5" s="3" t="s">
        <v>1096</v>
      </c>
      <c r="C5" s="3" t="s">
        <v>1091</v>
      </c>
      <c r="D5" s="3" t="s">
        <v>1097</v>
      </c>
      <c r="E5" s="3" t="s">
        <v>1098</v>
      </c>
      <c r="F5" s="3" t="s">
        <v>1099</v>
      </c>
      <c r="G5" s="3" t="s">
        <v>1100</v>
      </c>
    </row>
    <row r="6" spans="1:7" x14ac:dyDescent="0.3">
      <c r="A6" s="3" t="s">
        <v>1089</v>
      </c>
      <c r="B6" s="3" t="s">
        <v>1101</v>
      </c>
      <c r="C6" s="3" t="s">
        <v>1091</v>
      </c>
      <c r="D6" s="3" t="s">
        <v>1102</v>
      </c>
      <c r="E6" s="3" t="s">
        <v>1103</v>
      </c>
      <c r="F6" s="3" t="s">
        <v>1099</v>
      </c>
      <c r="G6" s="3" t="s">
        <v>1104</v>
      </c>
    </row>
    <row r="7" spans="1:7" ht="28.8" customHeight="1" x14ac:dyDescent="0.3">
      <c r="A7" s="3" t="s">
        <v>1105</v>
      </c>
      <c r="B7" s="3" t="s">
        <v>1106</v>
      </c>
      <c r="C7" s="3" t="s">
        <v>1107</v>
      </c>
      <c r="D7" s="3" t="s">
        <v>1108</v>
      </c>
      <c r="E7" s="3" t="s">
        <v>1109</v>
      </c>
      <c r="F7" s="3" t="s">
        <v>1110</v>
      </c>
      <c r="G7" s="3" t="s">
        <v>1111</v>
      </c>
    </row>
    <row r="8" spans="1:7" ht="28.8" customHeight="1" x14ac:dyDescent="0.3">
      <c r="A8" s="3" t="s">
        <v>1112</v>
      </c>
      <c r="B8" s="3" t="s">
        <v>1113</v>
      </c>
      <c r="C8" s="3" t="s">
        <v>1107</v>
      </c>
      <c r="D8" s="3" t="s">
        <v>1114</v>
      </c>
      <c r="E8" s="3" t="s">
        <v>1115</v>
      </c>
      <c r="F8" s="3" t="s">
        <v>1116</v>
      </c>
      <c r="G8" s="3" t="s">
        <v>1117</v>
      </c>
    </row>
    <row r="9" spans="1:7" x14ac:dyDescent="0.3">
      <c r="A9" s="3" t="s">
        <v>1118</v>
      </c>
      <c r="B9" s="3" t="s">
        <v>1119</v>
      </c>
      <c r="C9" s="3" t="s">
        <v>1107</v>
      </c>
      <c r="D9" s="3" t="s">
        <v>1120</v>
      </c>
      <c r="E9" s="3" t="s">
        <v>1121</v>
      </c>
      <c r="F9" s="3" t="s">
        <v>1122</v>
      </c>
      <c r="G9" s="3" t="s">
        <v>1123</v>
      </c>
    </row>
    <row r="10" spans="1:7" ht="28.8" customHeight="1" x14ac:dyDescent="0.3">
      <c r="A10" s="3" t="s">
        <v>1124</v>
      </c>
      <c r="B10" s="3" t="s">
        <v>1125</v>
      </c>
      <c r="C10" s="3" t="s">
        <v>1126</v>
      </c>
      <c r="D10" s="3" t="s">
        <v>1108</v>
      </c>
      <c r="E10" s="3" t="s">
        <v>1127</v>
      </c>
      <c r="F10" s="3" t="s">
        <v>1128</v>
      </c>
      <c r="G10" s="3" t="s">
        <v>1129</v>
      </c>
    </row>
    <row r="11" spans="1:7" ht="28.8" customHeight="1" x14ac:dyDescent="0.3">
      <c r="A11" s="3" t="s">
        <v>1130</v>
      </c>
      <c r="B11" s="3" t="s">
        <v>1131</v>
      </c>
      <c r="C11" s="3" t="s">
        <v>1132</v>
      </c>
      <c r="D11" s="3" t="s">
        <v>1133</v>
      </c>
      <c r="E11" s="3" t="s">
        <v>1134</v>
      </c>
      <c r="F11" s="3" t="s">
        <v>1122</v>
      </c>
      <c r="G11" s="3" t="s">
        <v>1135</v>
      </c>
    </row>
    <row r="12" spans="1:7" x14ac:dyDescent="0.3">
      <c r="A12" s="3" t="s">
        <v>1136</v>
      </c>
      <c r="B12" s="3" t="s">
        <v>1137</v>
      </c>
      <c r="C12" s="3" t="s">
        <v>1132</v>
      </c>
      <c r="D12" s="3" t="s">
        <v>1138</v>
      </c>
      <c r="E12" s="3" t="s">
        <v>1139</v>
      </c>
      <c r="F12" s="3" t="s">
        <v>1122</v>
      </c>
      <c r="G12" s="3" t="s">
        <v>1140</v>
      </c>
    </row>
    <row r="13" spans="1:7" x14ac:dyDescent="0.3">
      <c r="A13" s="3" t="s">
        <v>1141</v>
      </c>
      <c r="B13" s="3" t="s">
        <v>1142</v>
      </c>
      <c r="C13" s="3" t="s">
        <v>1143</v>
      </c>
      <c r="D13" s="3" t="s">
        <v>1144</v>
      </c>
      <c r="E13" s="3" t="s">
        <v>1145</v>
      </c>
      <c r="F13" s="3" t="s">
        <v>1146</v>
      </c>
      <c r="G13" s="3" t="s">
        <v>1147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</sheetViews>
  <sheetFormatPr defaultRowHeight="14.4" x14ac:dyDescent="0.3"/>
  <cols>
    <col min="1" max="1" width="28" customWidth="1"/>
    <col min="2" max="2" width="22" customWidth="1"/>
    <col min="3" max="3" width="12" customWidth="1"/>
    <col min="4" max="4" width="30" customWidth="1"/>
    <col min="5" max="5" width="20" customWidth="1"/>
    <col min="6" max="6" width="22" customWidth="1"/>
    <col min="7" max="7" width="50" customWidth="1"/>
    <col min="8" max="8" width="42" customWidth="1"/>
    <col min="9" max="9" width="32" customWidth="1"/>
    <col min="10" max="10" width="12" customWidth="1"/>
  </cols>
  <sheetData>
    <row r="1" spans="1:10" x14ac:dyDescent="0.3">
      <c r="A1" t="s">
        <v>1148</v>
      </c>
      <c r="B1" t="s">
        <v>1083</v>
      </c>
      <c r="C1" t="s">
        <v>1149</v>
      </c>
      <c r="D1" t="s">
        <v>1086</v>
      </c>
      <c r="E1" t="s">
        <v>1150</v>
      </c>
      <c r="F1" t="s">
        <v>1151</v>
      </c>
      <c r="G1" t="s">
        <v>1152</v>
      </c>
      <c r="H1" t="s">
        <v>12</v>
      </c>
      <c r="I1" t="s">
        <v>1153</v>
      </c>
      <c r="J1" t="s">
        <v>1154</v>
      </c>
    </row>
    <row r="2" spans="1:10" x14ac:dyDescent="0.3">
      <c r="A2" t="s">
        <v>394</v>
      </c>
      <c r="B2" t="s">
        <v>1155</v>
      </c>
      <c r="C2" t="s">
        <v>1091</v>
      </c>
      <c r="D2" t="s">
        <v>395</v>
      </c>
      <c r="E2" t="s">
        <v>1156</v>
      </c>
      <c r="F2" t="s">
        <v>1157</v>
      </c>
      <c r="G2" t="s">
        <v>396</v>
      </c>
      <c r="H2" t="s">
        <v>1158</v>
      </c>
      <c r="I2" t="s">
        <v>1159</v>
      </c>
      <c r="J2" t="s">
        <v>140</v>
      </c>
    </row>
    <row r="3" spans="1:10" x14ac:dyDescent="0.3">
      <c r="A3" t="s">
        <v>1160</v>
      </c>
      <c r="B3" t="s">
        <v>1141</v>
      </c>
      <c r="C3" t="s">
        <v>1091</v>
      </c>
      <c r="D3" t="s">
        <v>1161</v>
      </c>
      <c r="H3" t="s">
        <v>1162</v>
      </c>
      <c r="J3" t="s">
        <v>140</v>
      </c>
    </row>
    <row r="4" spans="1:10" x14ac:dyDescent="0.3">
      <c r="A4" t="s">
        <v>1163</v>
      </c>
      <c r="B4" t="s">
        <v>1141</v>
      </c>
      <c r="C4" t="s">
        <v>1143</v>
      </c>
      <c r="D4" t="s">
        <v>1144</v>
      </c>
      <c r="H4" t="s">
        <v>1164</v>
      </c>
      <c r="J4" t="s">
        <v>140</v>
      </c>
    </row>
    <row r="5" spans="1:10" x14ac:dyDescent="0.3">
      <c r="A5" t="s">
        <v>1096</v>
      </c>
      <c r="B5" t="s">
        <v>1089</v>
      </c>
      <c r="C5" t="s">
        <v>1165</v>
      </c>
      <c r="D5" t="s">
        <v>1097</v>
      </c>
      <c r="H5" t="s">
        <v>1166</v>
      </c>
      <c r="J5" t="s">
        <v>140</v>
      </c>
    </row>
    <row r="6" spans="1:10" x14ac:dyDescent="0.3">
      <c r="A6" t="s">
        <v>1167</v>
      </c>
      <c r="B6" t="s">
        <v>1089</v>
      </c>
      <c r="C6" t="s">
        <v>1165</v>
      </c>
      <c r="D6" t="s">
        <v>1102</v>
      </c>
      <c r="H6" t="s">
        <v>1168</v>
      </c>
      <c r="J6" t="s">
        <v>140</v>
      </c>
    </row>
    <row r="7" spans="1:10" x14ac:dyDescent="0.3">
      <c r="A7" t="s">
        <v>1169</v>
      </c>
      <c r="B7" t="s">
        <v>1089</v>
      </c>
      <c r="C7" t="s">
        <v>1170</v>
      </c>
      <c r="D7" t="s">
        <v>1133</v>
      </c>
      <c r="H7" t="s">
        <v>1171</v>
      </c>
      <c r="J7" t="s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14" customWidth="1"/>
    <col min="6" max="7" width="14.6640625" customWidth="1"/>
    <col min="8" max="8" width="23.109375" customWidth="1"/>
    <col min="9" max="9" width="22" customWidth="1"/>
    <col min="10" max="10" width="15.77734375" customWidth="1"/>
    <col min="11" max="11" width="23.109375" customWidth="1"/>
    <col min="12" max="12" width="24.109375" customWidth="1"/>
    <col min="13" max="13" width="14" customWidth="1"/>
    <col min="14" max="14" width="25.21875" customWidth="1"/>
    <col min="15" max="15" width="20" customWidth="1"/>
    <col min="16" max="16" width="16.77734375" customWidth="1"/>
    <col min="17" max="17" width="18.88671875" customWidth="1"/>
    <col min="18" max="18" width="17.88671875" customWidth="1"/>
    <col min="19" max="19" width="14.6640625" customWidth="1"/>
    <col min="20" max="20" width="25.21875" customWidth="1"/>
    <col min="21" max="21" width="29.44140625" customWidth="1"/>
    <col min="22" max="22" width="24.109375" customWidth="1"/>
    <col min="23" max="24" width="17.88671875" customWidth="1"/>
  </cols>
  <sheetData>
    <row r="1" spans="1:24" ht="25.95" customHeight="1" x14ac:dyDescent="0.3">
      <c r="A1" s="54" t="s">
        <v>1172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30" customHeight="1" x14ac:dyDescent="0.3">
      <c r="A2" s="34" t="s">
        <v>27</v>
      </c>
      <c r="B2" s="34" t="s">
        <v>30</v>
      </c>
      <c r="C2" s="34" t="s">
        <v>28</v>
      </c>
      <c r="D2" s="34" t="s">
        <v>29</v>
      </c>
      <c r="E2" s="34" t="s">
        <v>67</v>
      </c>
      <c r="F2" s="34" t="s">
        <v>122</v>
      </c>
      <c r="G2" s="34" t="s">
        <v>123</v>
      </c>
      <c r="H2" s="34" t="s">
        <v>71</v>
      </c>
      <c r="I2" s="34" t="s">
        <v>39</v>
      </c>
      <c r="J2" s="34" t="s">
        <v>62</v>
      </c>
      <c r="K2" s="34" t="s">
        <v>40</v>
      </c>
      <c r="L2" s="34" t="s">
        <v>98</v>
      </c>
      <c r="M2" s="34" t="s">
        <v>99</v>
      </c>
      <c r="N2" s="34" t="s">
        <v>100</v>
      </c>
      <c r="O2" s="34" t="s">
        <v>101</v>
      </c>
      <c r="P2" s="34" t="s">
        <v>102</v>
      </c>
      <c r="Q2" s="34" t="s">
        <v>103</v>
      </c>
      <c r="R2" s="34" t="s">
        <v>90</v>
      </c>
      <c r="S2" s="34" t="s">
        <v>91</v>
      </c>
      <c r="T2" s="34" t="s">
        <v>118</v>
      </c>
      <c r="U2" s="34" t="s">
        <v>104</v>
      </c>
      <c r="V2" s="34" t="s">
        <v>117</v>
      </c>
      <c r="W2" s="34" t="s">
        <v>120</v>
      </c>
      <c r="X2" s="34" t="s">
        <v>1173</v>
      </c>
    </row>
    <row r="3" spans="1:24" ht="90" customHeight="1" x14ac:dyDescent="0.3">
      <c r="A3" s="35" t="s">
        <v>809</v>
      </c>
      <c r="B3" s="35" t="s">
        <v>812</v>
      </c>
      <c r="C3" s="35" t="s">
        <v>810</v>
      </c>
      <c r="D3" s="35" t="s">
        <v>811</v>
      </c>
      <c r="E3" s="35" t="s">
        <v>139</v>
      </c>
      <c r="F3" s="35" t="s">
        <v>157</v>
      </c>
      <c r="G3" s="35">
        <v>55.4</v>
      </c>
      <c r="H3" s="35">
        <v>15</v>
      </c>
      <c r="I3" s="35">
        <v>161</v>
      </c>
      <c r="J3" s="35">
        <f>IF(AH55&lt;&gt;"",(AH55*AG55+AD55)*(1+AE55)*(1+AF55),(M55+AD55)*(1+AF55))</f>
        <v>0</v>
      </c>
      <c r="K3" s="35">
        <v>250</v>
      </c>
      <c r="L3" s="35" t="s">
        <v>765</v>
      </c>
      <c r="M3" s="35" t="s">
        <v>210</v>
      </c>
      <c r="N3" s="35" t="s">
        <v>310</v>
      </c>
      <c r="O3" s="35" t="s">
        <v>821</v>
      </c>
      <c r="P3" s="35" t="s">
        <v>312</v>
      </c>
      <c r="Q3" s="35" t="s">
        <v>146</v>
      </c>
      <c r="R3" s="35" t="s">
        <v>398</v>
      </c>
      <c r="S3" s="35" t="s">
        <v>819</v>
      </c>
      <c r="T3" s="35" t="s">
        <v>394</v>
      </c>
      <c r="U3" s="35" t="s">
        <v>404</v>
      </c>
      <c r="V3" s="35" t="s">
        <v>407</v>
      </c>
      <c r="W3" s="35" t="s">
        <v>155</v>
      </c>
      <c r="X3" s="35" t="s">
        <v>1174</v>
      </c>
    </row>
    <row r="4" spans="1:24" ht="90" customHeight="1" x14ac:dyDescent="0.3">
      <c r="A4" s="35" t="s">
        <v>855</v>
      </c>
      <c r="B4" s="35" t="s">
        <v>857</v>
      </c>
      <c r="C4" s="35" t="s">
        <v>856</v>
      </c>
      <c r="D4" s="35" t="s">
        <v>490</v>
      </c>
      <c r="E4" s="35" t="s">
        <v>139</v>
      </c>
      <c r="F4" s="35" t="s">
        <v>157</v>
      </c>
      <c r="G4" s="35">
        <v>51.2</v>
      </c>
      <c r="H4" s="35">
        <v>15</v>
      </c>
      <c r="I4" s="35">
        <v>18</v>
      </c>
      <c r="J4" s="35">
        <f>IF(AH59&lt;&gt;"",(AH59*AG59+AD59)*(1+AE59)*(1+AF59),(M59+AD59)*(1+AF59))</f>
        <v>0</v>
      </c>
      <c r="K4" s="35">
        <v>40</v>
      </c>
      <c r="L4" s="35" t="s">
        <v>209</v>
      </c>
      <c r="M4" s="35" t="s">
        <v>210</v>
      </c>
      <c r="N4" s="35" t="s">
        <v>310</v>
      </c>
      <c r="O4" s="35" t="s">
        <v>863</v>
      </c>
      <c r="P4" s="35" t="s">
        <v>312</v>
      </c>
      <c r="Q4" s="35" t="s">
        <v>146</v>
      </c>
      <c r="R4" s="35"/>
      <c r="S4" s="35"/>
      <c r="T4" s="35"/>
      <c r="U4" s="35" t="s">
        <v>147</v>
      </c>
      <c r="V4" s="35" t="s">
        <v>150</v>
      </c>
      <c r="W4" s="35" t="s">
        <v>155</v>
      </c>
      <c r="X4" s="35" t="s">
        <v>1175</v>
      </c>
    </row>
    <row r="5" spans="1:24" ht="90" customHeight="1" x14ac:dyDescent="0.3">
      <c r="A5" s="35" t="s">
        <v>865</v>
      </c>
      <c r="B5" s="35" t="s">
        <v>866</v>
      </c>
      <c r="C5" s="35" t="s">
        <v>856</v>
      </c>
      <c r="D5" s="35" t="s">
        <v>811</v>
      </c>
      <c r="E5" s="35" t="s">
        <v>139</v>
      </c>
      <c r="F5" s="35" t="s">
        <v>157</v>
      </c>
      <c r="G5" s="35">
        <v>46.4</v>
      </c>
      <c r="H5" s="35">
        <v>15</v>
      </c>
      <c r="I5" s="35">
        <v>13</v>
      </c>
      <c r="J5" s="35">
        <f>IF(AH60&lt;&gt;"",(AH60*AG60+AD60)*(1+AE60)*(1+AF60),(M60+AD60)*(1+AF60))</f>
        <v>0</v>
      </c>
      <c r="K5" s="35">
        <v>20</v>
      </c>
      <c r="L5" s="35" t="s">
        <v>873</v>
      </c>
      <c r="M5" s="35" t="s">
        <v>142</v>
      </c>
      <c r="N5" s="35" t="s">
        <v>310</v>
      </c>
      <c r="O5" s="35" t="s">
        <v>874</v>
      </c>
      <c r="P5" s="35" t="s">
        <v>312</v>
      </c>
      <c r="Q5" s="35" t="s">
        <v>146</v>
      </c>
      <c r="R5" s="35" t="s">
        <v>398</v>
      </c>
      <c r="S5" s="35" t="s">
        <v>872</v>
      </c>
      <c r="T5" s="35" t="s">
        <v>394</v>
      </c>
      <c r="U5" s="35" t="s">
        <v>404</v>
      </c>
      <c r="V5" s="35" t="s">
        <v>407</v>
      </c>
      <c r="W5" s="35" t="s">
        <v>155</v>
      </c>
      <c r="X5" s="35" t="s">
        <v>1174</v>
      </c>
    </row>
    <row r="6" spans="1:24" ht="90" customHeight="1" x14ac:dyDescent="0.3">
      <c r="A6" s="35" t="s">
        <v>976</v>
      </c>
      <c r="B6" s="35" t="s">
        <v>977</v>
      </c>
      <c r="C6" s="35" t="s">
        <v>845</v>
      </c>
      <c r="D6" s="35" t="s">
        <v>845</v>
      </c>
      <c r="E6" s="35" t="s">
        <v>139</v>
      </c>
      <c r="F6" s="35" t="s">
        <v>157</v>
      </c>
      <c r="G6" s="35">
        <v>45.4</v>
      </c>
      <c r="H6" s="35">
        <v>12</v>
      </c>
      <c r="I6" s="35">
        <v>115.83</v>
      </c>
      <c r="J6" s="35">
        <f>IF(AH71&lt;&gt;"",(AH71*AG71+AD71)*(1+AE71)*(1+AF71),(M71+AD71)*(1+AF71))</f>
        <v>0</v>
      </c>
      <c r="K6" s="35">
        <v>180</v>
      </c>
      <c r="L6" s="35" t="s">
        <v>376</v>
      </c>
      <c r="M6" s="35" t="s">
        <v>210</v>
      </c>
      <c r="N6" s="35" t="s">
        <v>310</v>
      </c>
      <c r="O6" s="35" t="s">
        <v>982</v>
      </c>
      <c r="P6" s="35" t="s">
        <v>312</v>
      </c>
      <c r="Q6" s="35" t="s">
        <v>146</v>
      </c>
      <c r="R6" s="35" t="s">
        <v>398</v>
      </c>
      <c r="S6" s="35" t="s">
        <v>980</v>
      </c>
      <c r="T6" s="35" t="s">
        <v>394</v>
      </c>
      <c r="U6" s="35" t="s">
        <v>404</v>
      </c>
      <c r="V6" s="35" t="s">
        <v>407</v>
      </c>
      <c r="W6" s="35" t="s">
        <v>155</v>
      </c>
      <c r="X6" s="35" t="s">
        <v>1174</v>
      </c>
    </row>
    <row r="7" spans="1:24" ht="90" customHeight="1" x14ac:dyDescent="0.3">
      <c r="A7" s="35" t="s">
        <v>622</v>
      </c>
      <c r="B7" s="35" t="s">
        <v>624</v>
      </c>
      <c r="C7" s="35" t="s">
        <v>623</v>
      </c>
      <c r="D7" s="35" t="s">
        <v>490</v>
      </c>
      <c r="E7" s="35" t="s">
        <v>139</v>
      </c>
      <c r="F7" s="35" t="s">
        <v>157</v>
      </c>
      <c r="G7" s="35">
        <v>39.4</v>
      </c>
      <c r="H7" s="35">
        <v>9</v>
      </c>
      <c r="I7" s="35">
        <v>165</v>
      </c>
      <c r="J7" s="35">
        <f>IF(AH38&lt;&gt;"",(AH38*AG38+AD38)*(1+AE38)*(1+AF38),(M38+AD38)*(1+AF38))</f>
        <v>0</v>
      </c>
      <c r="K7" s="35">
        <v>260</v>
      </c>
      <c r="L7" s="35" t="s">
        <v>632</v>
      </c>
      <c r="M7" s="35" t="s">
        <v>210</v>
      </c>
      <c r="N7" s="35" t="s">
        <v>310</v>
      </c>
      <c r="O7" s="35" t="s">
        <v>633</v>
      </c>
      <c r="P7" s="35" t="s">
        <v>312</v>
      </c>
      <c r="Q7" s="35" t="s">
        <v>146</v>
      </c>
      <c r="R7" s="35" t="s">
        <v>398</v>
      </c>
      <c r="S7" s="35" t="s">
        <v>630</v>
      </c>
      <c r="T7" s="35" t="s">
        <v>394</v>
      </c>
      <c r="U7" s="35" t="s">
        <v>404</v>
      </c>
      <c r="V7" s="35" t="s">
        <v>407</v>
      </c>
      <c r="W7" s="35" t="s">
        <v>155</v>
      </c>
      <c r="X7" s="35" t="s">
        <v>1174</v>
      </c>
    </row>
    <row r="8" spans="1:24" ht="90" customHeight="1" x14ac:dyDescent="0.3">
      <c r="A8" s="35" t="s">
        <v>703</v>
      </c>
      <c r="B8" s="35" t="s">
        <v>705</v>
      </c>
      <c r="C8" s="35" t="s">
        <v>704</v>
      </c>
      <c r="D8" s="35" t="s">
        <v>127</v>
      </c>
      <c r="E8" s="35" t="s">
        <v>139</v>
      </c>
      <c r="F8" s="35" t="s">
        <v>157</v>
      </c>
      <c r="G8" s="35">
        <v>39.4</v>
      </c>
      <c r="H8" s="35">
        <v>6</v>
      </c>
      <c r="I8" s="35">
        <v>339</v>
      </c>
      <c r="J8" s="35">
        <f>IF(AH45&lt;&gt;"",(AH45*AG45+AD45)*(1+AE45)*(1+AF45),(M45+AD45)*(1+AF45))</f>
        <v>0</v>
      </c>
      <c r="K8" s="35">
        <v>530</v>
      </c>
      <c r="L8" s="35" t="s">
        <v>572</v>
      </c>
      <c r="M8" s="35" t="s">
        <v>210</v>
      </c>
      <c r="N8" s="35" t="s">
        <v>310</v>
      </c>
      <c r="O8" s="35" t="s">
        <v>713</v>
      </c>
      <c r="P8" s="35" t="s">
        <v>312</v>
      </c>
      <c r="Q8" s="35" t="s">
        <v>146</v>
      </c>
      <c r="R8" s="35" t="s">
        <v>398</v>
      </c>
      <c r="S8" s="35" t="s">
        <v>712</v>
      </c>
      <c r="T8" s="35" t="s">
        <v>394</v>
      </c>
      <c r="U8" s="35" t="s">
        <v>404</v>
      </c>
      <c r="V8" s="35" t="s">
        <v>407</v>
      </c>
      <c r="W8" s="35" t="s">
        <v>155</v>
      </c>
      <c r="X8" s="35" t="s">
        <v>1174</v>
      </c>
    </row>
    <row r="9" spans="1:24" ht="90" customHeight="1" x14ac:dyDescent="0.3">
      <c r="A9" s="35" t="s">
        <v>756</v>
      </c>
      <c r="B9" s="35" t="s">
        <v>758</v>
      </c>
      <c r="C9" s="35" t="s">
        <v>757</v>
      </c>
      <c r="D9" s="35" t="s">
        <v>490</v>
      </c>
      <c r="E9" s="35" t="s">
        <v>139</v>
      </c>
      <c r="F9" s="35" t="s">
        <v>157</v>
      </c>
      <c r="G9" s="35">
        <v>39.4</v>
      </c>
      <c r="H9" s="35">
        <v>9</v>
      </c>
      <c r="I9" s="35">
        <v>107</v>
      </c>
      <c r="J9" s="35">
        <f>IF(AH50&lt;&gt;"",(AH50*AG50+AD50)*(1+AE50)*(1+AF50),(M50+AD50)*(1+AF50))</f>
        <v>0</v>
      </c>
      <c r="K9" s="35">
        <v>170</v>
      </c>
      <c r="L9" s="35" t="s">
        <v>765</v>
      </c>
      <c r="M9" s="35" t="s">
        <v>210</v>
      </c>
      <c r="N9" s="35" t="s">
        <v>310</v>
      </c>
      <c r="O9" s="35" t="s">
        <v>766</v>
      </c>
      <c r="P9" s="35" t="s">
        <v>312</v>
      </c>
      <c r="Q9" s="35" t="s">
        <v>146</v>
      </c>
      <c r="R9" s="35" t="s">
        <v>398</v>
      </c>
      <c r="S9" s="35" t="s">
        <v>764</v>
      </c>
      <c r="T9" s="35" t="s">
        <v>394</v>
      </c>
      <c r="U9" s="35" t="s">
        <v>404</v>
      </c>
      <c r="V9" s="35" t="s">
        <v>407</v>
      </c>
      <c r="W9" s="35" t="s">
        <v>155</v>
      </c>
      <c r="X9" s="35" t="s">
        <v>1174</v>
      </c>
    </row>
    <row r="10" spans="1:24" ht="90" customHeight="1" x14ac:dyDescent="0.3">
      <c r="A10" s="35" t="s">
        <v>966</v>
      </c>
      <c r="B10" s="35" t="s">
        <v>967</v>
      </c>
      <c r="C10" s="35" t="s">
        <v>845</v>
      </c>
      <c r="D10" s="35" t="s">
        <v>845</v>
      </c>
      <c r="E10" s="35" t="s">
        <v>139</v>
      </c>
      <c r="F10" s="35" t="s">
        <v>157</v>
      </c>
      <c r="G10" s="35">
        <v>37.5</v>
      </c>
      <c r="H10" s="35">
        <v>8</v>
      </c>
      <c r="I10" s="35">
        <v>54</v>
      </c>
      <c r="J10" s="35">
        <f>IF(AH70&lt;&gt;"",(AH70*AG70+AD70)*(1+AE70)*(1+AF70),(M70+AD70)*(1+AF70))</f>
        <v>0</v>
      </c>
      <c r="K10" s="35">
        <v>90</v>
      </c>
      <c r="L10" s="35" t="s">
        <v>971</v>
      </c>
      <c r="M10" s="35" t="s">
        <v>210</v>
      </c>
      <c r="N10" s="35" t="s">
        <v>310</v>
      </c>
      <c r="O10" s="35" t="s">
        <v>972</v>
      </c>
      <c r="P10" s="35" t="s">
        <v>312</v>
      </c>
      <c r="Q10" s="35" t="s">
        <v>146</v>
      </c>
      <c r="R10" s="35" t="s">
        <v>398</v>
      </c>
      <c r="S10" s="35" t="s">
        <v>969</v>
      </c>
      <c r="T10" s="35" t="s">
        <v>394</v>
      </c>
      <c r="U10" s="35" t="s">
        <v>404</v>
      </c>
      <c r="V10" s="35" t="s">
        <v>407</v>
      </c>
      <c r="W10" s="35" t="s">
        <v>155</v>
      </c>
      <c r="X10" s="35" t="s">
        <v>1174</v>
      </c>
    </row>
    <row r="11" spans="1:24" ht="90" customHeight="1" x14ac:dyDescent="0.3">
      <c r="A11" s="35" t="s">
        <v>199</v>
      </c>
      <c r="B11" s="35" t="s">
        <v>200</v>
      </c>
      <c r="C11" s="35" t="s">
        <v>126</v>
      </c>
      <c r="D11" s="35" t="s">
        <v>127</v>
      </c>
      <c r="E11" s="35" t="s">
        <v>139</v>
      </c>
      <c r="F11" s="35" t="s">
        <v>157</v>
      </c>
      <c r="G11" s="35">
        <v>35.200000000000003</v>
      </c>
      <c r="H11" s="35">
        <v>2</v>
      </c>
      <c r="I11" s="35">
        <v>2200</v>
      </c>
      <c r="J11" s="35" t="e">
        <f>IF(AH6&lt;&gt;"",(AH6*AG6+AD6)*(1+AE6)*(1+AF6),(M6+AD6)*(1+AF6))</f>
        <v>#VALUE!</v>
      </c>
      <c r="K11" s="35">
        <v>3500</v>
      </c>
      <c r="L11" s="35" t="s">
        <v>209</v>
      </c>
      <c r="M11" s="35" t="s">
        <v>210</v>
      </c>
      <c r="N11" s="35" t="s">
        <v>143</v>
      </c>
      <c r="O11" s="35" t="s">
        <v>211</v>
      </c>
      <c r="P11" s="35" t="s">
        <v>145</v>
      </c>
      <c r="Q11" s="35" t="s">
        <v>146</v>
      </c>
      <c r="R11" s="35"/>
      <c r="S11" s="35"/>
      <c r="T11" s="35"/>
      <c r="U11" s="35" t="s">
        <v>147</v>
      </c>
      <c r="V11" s="35" t="s">
        <v>150</v>
      </c>
      <c r="W11" s="35" t="s">
        <v>155</v>
      </c>
      <c r="X11" s="35" t="s">
        <v>1175</v>
      </c>
    </row>
    <row r="12" spans="1:24" ht="90" customHeight="1" x14ac:dyDescent="0.3">
      <c r="A12" s="35" t="s">
        <v>694</v>
      </c>
      <c r="B12" s="35" t="s">
        <v>695</v>
      </c>
      <c r="C12" s="35" t="s">
        <v>623</v>
      </c>
      <c r="D12" s="35" t="s">
        <v>490</v>
      </c>
      <c r="E12" s="35" t="s">
        <v>139</v>
      </c>
      <c r="F12" s="35" t="s">
        <v>157</v>
      </c>
      <c r="G12" s="35">
        <v>33.5</v>
      </c>
      <c r="H12" s="35">
        <v>6</v>
      </c>
      <c r="I12" s="35">
        <v>59</v>
      </c>
      <c r="J12" s="35">
        <f>IF(AH44&lt;&gt;"",(AH44*AG44+AD44)*(1+AE44)*(1+AF44),(M44+AD44)*(1+AF44))</f>
        <v>0</v>
      </c>
      <c r="K12" s="35">
        <v>100</v>
      </c>
      <c r="L12" s="35" t="s">
        <v>572</v>
      </c>
      <c r="M12" s="35" t="s">
        <v>210</v>
      </c>
      <c r="N12" s="35" t="s">
        <v>310</v>
      </c>
      <c r="O12" s="35" t="s">
        <v>700</v>
      </c>
      <c r="P12" s="35" t="s">
        <v>312</v>
      </c>
      <c r="Q12" s="35" t="s">
        <v>146</v>
      </c>
      <c r="R12" s="35" t="s">
        <v>398</v>
      </c>
      <c r="S12" s="35" t="s">
        <v>698</v>
      </c>
      <c r="T12" s="35" t="s">
        <v>394</v>
      </c>
      <c r="U12" s="35" t="s">
        <v>404</v>
      </c>
      <c r="V12" s="35" t="s">
        <v>407</v>
      </c>
      <c r="W12" s="35" t="s">
        <v>155</v>
      </c>
      <c r="X12" s="35" t="s">
        <v>1174</v>
      </c>
    </row>
  </sheetData>
  <autoFilter ref="A2:X12" xr:uid="{00000000-0009-0000-0000-00000A000000}"/>
  <mergeCells count="1">
    <mergeCell ref="A1:X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14" customWidth="1"/>
    <col min="6" max="7" width="14.6640625" customWidth="1"/>
    <col min="8" max="8" width="23.109375" customWidth="1"/>
    <col min="9" max="9" width="22" customWidth="1"/>
    <col min="10" max="10" width="15.77734375" customWidth="1"/>
    <col min="11" max="11" width="23.109375" customWidth="1"/>
    <col min="12" max="12" width="24.109375" customWidth="1"/>
    <col min="13" max="13" width="14" customWidth="1"/>
    <col min="14" max="14" width="25.21875" customWidth="1"/>
    <col min="15" max="15" width="20" customWidth="1"/>
    <col min="16" max="16" width="16.77734375" customWidth="1"/>
    <col min="17" max="17" width="18.88671875" customWidth="1"/>
    <col min="18" max="18" width="17.88671875" customWidth="1"/>
    <col min="19" max="19" width="14.6640625" customWidth="1"/>
    <col min="20" max="20" width="25.21875" customWidth="1"/>
    <col min="21" max="21" width="29.44140625" customWidth="1"/>
    <col min="22" max="22" width="24.109375" customWidth="1"/>
    <col min="23" max="24" width="17.88671875" customWidth="1"/>
  </cols>
  <sheetData>
    <row r="1" spans="1:24" ht="25.95" customHeight="1" x14ac:dyDescent="0.3">
      <c r="A1" s="54" t="s">
        <v>1176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30" customHeight="1" x14ac:dyDescent="0.3">
      <c r="A2" s="34" t="s">
        <v>27</v>
      </c>
      <c r="B2" s="34" t="s">
        <v>30</v>
      </c>
      <c r="C2" s="34" t="s">
        <v>28</v>
      </c>
      <c r="D2" s="34" t="s">
        <v>29</v>
      </c>
      <c r="E2" s="34" t="s">
        <v>67</v>
      </c>
      <c r="F2" s="34" t="s">
        <v>122</v>
      </c>
      <c r="G2" s="34" t="s">
        <v>123</v>
      </c>
      <c r="H2" s="34" t="s">
        <v>71</v>
      </c>
      <c r="I2" s="34" t="s">
        <v>39</v>
      </c>
      <c r="J2" s="34" t="s">
        <v>62</v>
      </c>
      <c r="K2" s="34" t="s">
        <v>40</v>
      </c>
      <c r="L2" s="34" t="s">
        <v>98</v>
      </c>
      <c r="M2" s="34" t="s">
        <v>99</v>
      </c>
      <c r="N2" s="34" t="s">
        <v>100</v>
      </c>
      <c r="O2" s="34" t="s">
        <v>101</v>
      </c>
      <c r="P2" s="34" t="s">
        <v>102</v>
      </c>
      <c r="Q2" s="34" t="s">
        <v>103</v>
      </c>
      <c r="R2" s="34" t="s">
        <v>90</v>
      </c>
      <c r="S2" s="34" t="s">
        <v>91</v>
      </c>
      <c r="T2" s="34" t="s">
        <v>118</v>
      </c>
      <c r="U2" s="34" t="s">
        <v>104</v>
      </c>
      <c r="V2" s="34" t="s">
        <v>117</v>
      </c>
      <c r="W2" s="34" t="s">
        <v>120</v>
      </c>
      <c r="X2" s="34" t="s">
        <v>1173</v>
      </c>
    </row>
    <row r="3" spans="1:24" ht="90" customHeight="1" x14ac:dyDescent="0.3">
      <c r="A3" s="35" t="s">
        <v>809</v>
      </c>
      <c r="B3" s="35" t="s">
        <v>812</v>
      </c>
      <c r="C3" s="35" t="s">
        <v>810</v>
      </c>
      <c r="D3" s="35" t="s">
        <v>811</v>
      </c>
      <c r="E3" s="35" t="s">
        <v>139</v>
      </c>
      <c r="F3" s="35" t="s">
        <v>157</v>
      </c>
      <c r="G3" s="35">
        <v>55.4</v>
      </c>
      <c r="H3" s="35">
        <v>15</v>
      </c>
      <c r="I3" s="35">
        <v>161</v>
      </c>
      <c r="J3" s="35">
        <f>IF(AH55&lt;&gt;"",(AH55*AG55+AD55)*(1+AE55)*(1+AF55),(M55+AD55)*(1+AF55))</f>
        <v>0</v>
      </c>
      <c r="K3" s="35">
        <v>250</v>
      </c>
      <c r="L3" s="35" t="s">
        <v>765</v>
      </c>
      <c r="M3" s="35" t="s">
        <v>210</v>
      </c>
      <c r="N3" s="35" t="s">
        <v>310</v>
      </c>
      <c r="O3" s="35" t="s">
        <v>821</v>
      </c>
      <c r="P3" s="35" t="s">
        <v>312</v>
      </c>
      <c r="Q3" s="35" t="s">
        <v>146</v>
      </c>
      <c r="R3" s="35" t="s">
        <v>398</v>
      </c>
      <c r="S3" s="35" t="s">
        <v>819</v>
      </c>
      <c r="T3" s="35" t="s">
        <v>394</v>
      </c>
      <c r="U3" s="35" t="s">
        <v>404</v>
      </c>
      <c r="V3" s="35" t="s">
        <v>407</v>
      </c>
      <c r="W3" s="35" t="s">
        <v>155</v>
      </c>
      <c r="X3" s="35" t="s">
        <v>1174</v>
      </c>
    </row>
    <row r="4" spans="1:24" ht="90" customHeight="1" x14ac:dyDescent="0.3">
      <c r="A4" s="35" t="s">
        <v>855</v>
      </c>
      <c r="B4" s="35" t="s">
        <v>857</v>
      </c>
      <c r="C4" s="35" t="s">
        <v>856</v>
      </c>
      <c r="D4" s="35" t="s">
        <v>490</v>
      </c>
      <c r="E4" s="35" t="s">
        <v>139</v>
      </c>
      <c r="F4" s="35" t="s">
        <v>157</v>
      </c>
      <c r="G4" s="35">
        <v>51.2</v>
      </c>
      <c r="H4" s="35">
        <v>15</v>
      </c>
      <c r="I4" s="35">
        <v>18</v>
      </c>
      <c r="J4" s="35">
        <f>IF(AH59&lt;&gt;"",(AH59*AG59+AD59)*(1+AE59)*(1+AF59),(M59+AD59)*(1+AF59))</f>
        <v>0</v>
      </c>
      <c r="K4" s="35">
        <v>40</v>
      </c>
      <c r="L4" s="35" t="s">
        <v>209</v>
      </c>
      <c r="M4" s="35" t="s">
        <v>210</v>
      </c>
      <c r="N4" s="35" t="s">
        <v>310</v>
      </c>
      <c r="O4" s="35" t="s">
        <v>863</v>
      </c>
      <c r="P4" s="35" t="s">
        <v>312</v>
      </c>
      <c r="Q4" s="35" t="s">
        <v>146</v>
      </c>
      <c r="R4" s="35"/>
      <c r="S4" s="35"/>
      <c r="T4" s="35"/>
      <c r="U4" s="35" t="s">
        <v>147</v>
      </c>
      <c r="V4" s="35" t="s">
        <v>150</v>
      </c>
      <c r="W4" s="35" t="s">
        <v>155</v>
      </c>
      <c r="X4" s="35" t="s">
        <v>1175</v>
      </c>
    </row>
    <row r="5" spans="1:24" ht="90" customHeight="1" x14ac:dyDescent="0.3">
      <c r="A5" s="35" t="s">
        <v>865</v>
      </c>
      <c r="B5" s="35" t="s">
        <v>866</v>
      </c>
      <c r="C5" s="35" t="s">
        <v>856</v>
      </c>
      <c r="D5" s="35" t="s">
        <v>811</v>
      </c>
      <c r="E5" s="35" t="s">
        <v>139</v>
      </c>
      <c r="F5" s="35" t="s">
        <v>157</v>
      </c>
      <c r="G5" s="35">
        <v>46.4</v>
      </c>
      <c r="H5" s="35">
        <v>15</v>
      </c>
      <c r="I5" s="35">
        <v>13</v>
      </c>
      <c r="J5" s="35">
        <f>IF(AH60&lt;&gt;"",(AH60*AG60+AD60)*(1+AE60)*(1+AF60),(M60+AD60)*(1+AF60))</f>
        <v>0</v>
      </c>
      <c r="K5" s="35">
        <v>20</v>
      </c>
      <c r="L5" s="35" t="s">
        <v>873</v>
      </c>
      <c r="M5" s="35" t="s">
        <v>142</v>
      </c>
      <c r="N5" s="35" t="s">
        <v>310</v>
      </c>
      <c r="O5" s="35" t="s">
        <v>874</v>
      </c>
      <c r="P5" s="35" t="s">
        <v>312</v>
      </c>
      <c r="Q5" s="35" t="s">
        <v>146</v>
      </c>
      <c r="R5" s="35" t="s">
        <v>398</v>
      </c>
      <c r="S5" s="35" t="s">
        <v>872</v>
      </c>
      <c r="T5" s="35" t="s">
        <v>394</v>
      </c>
      <c r="U5" s="35" t="s">
        <v>404</v>
      </c>
      <c r="V5" s="35" t="s">
        <v>407</v>
      </c>
      <c r="W5" s="35" t="s">
        <v>155</v>
      </c>
      <c r="X5" s="35" t="s">
        <v>1174</v>
      </c>
    </row>
    <row r="6" spans="1:24" ht="90" customHeight="1" x14ac:dyDescent="0.3">
      <c r="A6" s="35" t="s">
        <v>976</v>
      </c>
      <c r="B6" s="35" t="s">
        <v>977</v>
      </c>
      <c r="C6" s="35" t="s">
        <v>845</v>
      </c>
      <c r="D6" s="35" t="s">
        <v>845</v>
      </c>
      <c r="E6" s="35" t="s">
        <v>139</v>
      </c>
      <c r="F6" s="35" t="s">
        <v>157</v>
      </c>
      <c r="G6" s="35">
        <v>45.4</v>
      </c>
      <c r="H6" s="35">
        <v>12</v>
      </c>
      <c r="I6" s="35">
        <v>115.83</v>
      </c>
      <c r="J6" s="35">
        <f>IF(AH71&lt;&gt;"",(AH71*AG71+AD71)*(1+AE71)*(1+AF71),(M71+AD71)*(1+AF71))</f>
        <v>0</v>
      </c>
      <c r="K6" s="35">
        <v>180</v>
      </c>
      <c r="L6" s="35" t="s">
        <v>376</v>
      </c>
      <c r="M6" s="35" t="s">
        <v>210</v>
      </c>
      <c r="N6" s="35" t="s">
        <v>310</v>
      </c>
      <c r="O6" s="35" t="s">
        <v>982</v>
      </c>
      <c r="P6" s="35" t="s">
        <v>312</v>
      </c>
      <c r="Q6" s="35" t="s">
        <v>146</v>
      </c>
      <c r="R6" s="35" t="s">
        <v>398</v>
      </c>
      <c r="S6" s="35" t="s">
        <v>980</v>
      </c>
      <c r="T6" s="35" t="s">
        <v>394</v>
      </c>
      <c r="U6" s="35" t="s">
        <v>404</v>
      </c>
      <c r="V6" s="35" t="s">
        <v>407</v>
      </c>
      <c r="W6" s="35" t="s">
        <v>155</v>
      </c>
      <c r="X6" s="35" t="s">
        <v>1174</v>
      </c>
    </row>
    <row r="7" spans="1:24" ht="90" customHeight="1" x14ac:dyDescent="0.3">
      <c r="A7" s="35" t="s">
        <v>622</v>
      </c>
      <c r="B7" s="35" t="s">
        <v>624</v>
      </c>
      <c r="C7" s="35" t="s">
        <v>623</v>
      </c>
      <c r="D7" s="35" t="s">
        <v>490</v>
      </c>
      <c r="E7" s="35" t="s">
        <v>139</v>
      </c>
      <c r="F7" s="35" t="s">
        <v>157</v>
      </c>
      <c r="G7" s="35">
        <v>39.4</v>
      </c>
      <c r="H7" s="35">
        <v>9</v>
      </c>
      <c r="I7" s="35">
        <v>165</v>
      </c>
      <c r="J7" s="35">
        <f>IF(AH38&lt;&gt;"",(AH38*AG38+AD38)*(1+AE38)*(1+AF38),(M38+AD38)*(1+AF38))</f>
        <v>0</v>
      </c>
      <c r="K7" s="35">
        <v>260</v>
      </c>
      <c r="L7" s="35" t="s">
        <v>632</v>
      </c>
      <c r="M7" s="35" t="s">
        <v>210</v>
      </c>
      <c r="N7" s="35" t="s">
        <v>310</v>
      </c>
      <c r="O7" s="35" t="s">
        <v>633</v>
      </c>
      <c r="P7" s="35" t="s">
        <v>312</v>
      </c>
      <c r="Q7" s="35" t="s">
        <v>146</v>
      </c>
      <c r="R7" s="35" t="s">
        <v>398</v>
      </c>
      <c r="S7" s="35" t="s">
        <v>630</v>
      </c>
      <c r="T7" s="35" t="s">
        <v>394</v>
      </c>
      <c r="U7" s="35" t="s">
        <v>404</v>
      </c>
      <c r="V7" s="35" t="s">
        <v>407</v>
      </c>
      <c r="W7" s="35" t="s">
        <v>155</v>
      </c>
      <c r="X7" s="35" t="s">
        <v>1174</v>
      </c>
    </row>
    <row r="8" spans="1:24" ht="90" customHeight="1" x14ac:dyDescent="0.3">
      <c r="A8" s="35" t="s">
        <v>703</v>
      </c>
      <c r="B8" s="35" t="s">
        <v>705</v>
      </c>
      <c r="C8" s="35" t="s">
        <v>704</v>
      </c>
      <c r="D8" s="35" t="s">
        <v>127</v>
      </c>
      <c r="E8" s="35" t="s">
        <v>139</v>
      </c>
      <c r="F8" s="35" t="s">
        <v>157</v>
      </c>
      <c r="G8" s="35">
        <v>39.4</v>
      </c>
      <c r="H8" s="35">
        <v>6</v>
      </c>
      <c r="I8" s="35">
        <v>339</v>
      </c>
      <c r="J8" s="35">
        <f>IF(AH45&lt;&gt;"",(AH45*AG45+AD45)*(1+AE45)*(1+AF45),(M45+AD45)*(1+AF45))</f>
        <v>0</v>
      </c>
      <c r="K8" s="35">
        <v>530</v>
      </c>
      <c r="L8" s="35" t="s">
        <v>572</v>
      </c>
      <c r="M8" s="35" t="s">
        <v>210</v>
      </c>
      <c r="N8" s="35" t="s">
        <v>310</v>
      </c>
      <c r="O8" s="35" t="s">
        <v>713</v>
      </c>
      <c r="P8" s="35" t="s">
        <v>312</v>
      </c>
      <c r="Q8" s="35" t="s">
        <v>146</v>
      </c>
      <c r="R8" s="35" t="s">
        <v>398</v>
      </c>
      <c r="S8" s="35" t="s">
        <v>712</v>
      </c>
      <c r="T8" s="35" t="s">
        <v>394</v>
      </c>
      <c r="U8" s="35" t="s">
        <v>404</v>
      </c>
      <c r="V8" s="35" t="s">
        <v>407</v>
      </c>
      <c r="W8" s="35" t="s">
        <v>155</v>
      </c>
      <c r="X8" s="35" t="s">
        <v>1174</v>
      </c>
    </row>
    <row r="9" spans="1:24" ht="90" customHeight="1" x14ac:dyDescent="0.3">
      <c r="A9" s="35" t="s">
        <v>756</v>
      </c>
      <c r="B9" s="35" t="s">
        <v>758</v>
      </c>
      <c r="C9" s="35" t="s">
        <v>757</v>
      </c>
      <c r="D9" s="35" t="s">
        <v>490</v>
      </c>
      <c r="E9" s="35" t="s">
        <v>139</v>
      </c>
      <c r="F9" s="35" t="s">
        <v>157</v>
      </c>
      <c r="G9" s="35">
        <v>39.4</v>
      </c>
      <c r="H9" s="35">
        <v>9</v>
      </c>
      <c r="I9" s="35">
        <v>107</v>
      </c>
      <c r="J9" s="35">
        <f>IF(AH50&lt;&gt;"",(AH50*AG50+AD50)*(1+AE50)*(1+AF50),(M50+AD50)*(1+AF50))</f>
        <v>0</v>
      </c>
      <c r="K9" s="35">
        <v>170</v>
      </c>
      <c r="L9" s="35" t="s">
        <v>765</v>
      </c>
      <c r="M9" s="35" t="s">
        <v>210</v>
      </c>
      <c r="N9" s="35" t="s">
        <v>310</v>
      </c>
      <c r="O9" s="35" t="s">
        <v>766</v>
      </c>
      <c r="P9" s="35" t="s">
        <v>312</v>
      </c>
      <c r="Q9" s="35" t="s">
        <v>146</v>
      </c>
      <c r="R9" s="35" t="s">
        <v>398</v>
      </c>
      <c r="S9" s="35" t="s">
        <v>764</v>
      </c>
      <c r="T9" s="35" t="s">
        <v>394</v>
      </c>
      <c r="U9" s="35" t="s">
        <v>404</v>
      </c>
      <c r="V9" s="35" t="s">
        <v>407</v>
      </c>
      <c r="W9" s="35" t="s">
        <v>155</v>
      </c>
      <c r="X9" s="35" t="s">
        <v>1174</v>
      </c>
    </row>
    <row r="10" spans="1:24" ht="90" customHeight="1" x14ac:dyDescent="0.3">
      <c r="A10" s="35" t="s">
        <v>966</v>
      </c>
      <c r="B10" s="35" t="s">
        <v>967</v>
      </c>
      <c r="C10" s="35" t="s">
        <v>845</v>
      </c>
      <c r="D10" s="35" t="s">
        <v>845</v>
      </c>
      <c r="E10" s="35" t="s">
        <v>139</v>
      </c>
      <c r="F10" s="35" t="s">
        <v>157</v>
      </c>
      <c r="G10" s="35">
        <v>37.5</v>
      </c>
      <c r="H10" s="35">
        <v>8</v>
      </c>
      <c r="I10" s="35">
        <v>54</v>
      </c>
      <c r="J10" s="35">
        <f>IF(AH70&lt;&gt;"",(AH70*AG70+AD70)*(1+AE70)*(1+AF70),(M70+AD70)*(1+AF70))</f>
        <v>0</v>
      </c>
      <c r="K10" s="35">
        <v>90</v>
      </c>
      <c r="L10" s="35" t="s">
        <v>971</v>
      </c>
      <c r="M10" s="35" t="s">
        <v>210</v>
      </c>
      <c r="N10" s="35" t="s">
        <v>310</v>
      </c>
      <c r="O10" s="35" t="s">
        <v>972</v>
      </c>
      <c r="P10" s="35" t="s">
        <v>312</v>
      </c>
      <c r="Q10" s="35" t="s">
        <v>146</v>
      </c>
      <c r="R10" s="35" t="s">
        <v>398</v>
      </c>
      <c r="S10" s="35" t="s">
        <v>969</v>
      </c>
      <c r="T10" s="35" t="s">
        <v>394</v>
      </c>
      <c r="U10" s="35" t="s">
        <v>404</v>
      </c>
      <c r="V10" s="35" t="s">
        <v>407</v>
      </c>
      <c r="W10" s="35" t="s">
        <v>155</v>
      </c>
      <c r="X10" s="35" t="s">
        <v>1174</v>
      </c>
    </row>
    <row r="11" spans="1:24" ht="90" customHeight="1" x14ac:dyDescent="0.3">
      <c r="A11" s="35" t="s">
        <v>199</v>
      </c>
      <c r="B11" s="35" t="s">
        <v>200</v>
      </c>
      <c r="C11" s="35" t="s">
        <v>126</v>
      </c>
      <c r="D11" s="35" t="s">
        <v>127</v>
      </c>
      <c r="E11" s="35" t="s">
        <v>139</v>
      </c>
      <c r="F11" s="35" t="s">
        <v>157</v>
      </c>
      <c r="G11" s="35">
        <v>35.200000000000003</v>
      </c>
      <c r="H11" s="35">
        <v>2</v>
      </c>
      <c r="I11" s="35">
        <v>2200</v>
      </c>
      <c r="J11" s="35" t="e">
        <f>IF(AH6&lt;&gt;"",(AH6*AG6+AD6)*(1+AE6)*(1+AF6),(M6+AD6)*(1+AF6))</f>
        <v>#VALUE!</v>
      </c>
      <c r="K11" s="35">
        <v>3500</v>
      </c>
      <c r="L11" s="35" t="s">
        <v>209</v>
      </c>
      <c r="M11" s="35" t="s">
        <v>210</v>
      </c>
      <c r="N11" s="35" t="s">
        <v>143</v>
      </c>
      <c r="O11" s="35" t="s">
        <v>211</v>
      </c>
      <c r="P11" s="35" t="s">
        <v>145</v>
      </c>
      <c r="Q11" s="35" t="s">
        <v>146</v>
      </c>
      <c r="R11" s="35"/>
      <c r="S11" s="35"/>
      <c r="T11" s="35"/>
      <c r="U11" s="35" t="s">
        <v>147</v>
      </c>
      <c r="V11" s="35" t="s">
        <v>150</v>
      </c>
      <c r="W11" s="35" t="s">
        <v>155</v>
      </c>
      <c r="X11" s="35" t="s">
        <v>1175</v>
      </c>
    </row>
    <row r="12" spans="1:24" ht="90" customHeight="1" x14ac:dyDescent="0.3">
      <c r="A12" s="35" t="s">
        <v>694</v>
      </c>
      <c r="B12" s="35" t="s">
        <v>695</v>
      </c>
      <c r="C12" s="35" t="s">
        <v>623</v>
      </c>
      <c r="D12" s="35" t="s">
        <v>490</v>
      </c>
      <c r="E12" s="35" t="s">
        <v>139</v>
      </c>
      <c r="F12" s="35" t="s">
        <v>157</v>
      </c>
      <c r="G12" s="35">
        <v>33.5</v>
      </c>
      <c r="H12" s="35">
        <v>6</v>
      </c>
      <c r="I12" s="35">
        <v>59</v>
      </c>
      <c r="J12" s="35">
        <f>IF(AH44&lt;&gt;"",(AH44*AG44+AD44)*(1+AE44)*(1+AF44),(M44+AD44)*(1+AF44))</f>
        <v>0</v>
      </c>
      <c r="K12" s="35">
        <v>100</v>
      </c>
      <c r="L12" s="35" t="s">
        <v>572</v>
      </c>
      <c r="M12" s="35" t="s">
        <v>210</v>
      </c>
      <c r="N12" s="35" t="s">
        <v>310</v>
      </c>
      <c r="O12" s="35" t="s">
        <v>700</v>
      </c>
      <c r="P12" s="35" t="s">
        <v>312</v>
      </c>
      <c r="Q12" s="35" t="s">
        <v>146</v>
      </c>
      <c r="R12" s="35" t="s">
        <v>398</v>
      </c>
      <c r="S12" s="35" t="s">
        <v>698</v>
      </c>
      <c r="T12" s="35" t="s">
        <v>394</v>
      </c>
      <c r="U12" s="35" t="s">
        <v>404</v>
      </c>
      <c r="V12" s="35" t="s">
        <v>407</v>
      </c>
      <c r="W12" s="35" t="s">
        <v>155</v>
      </c>
      <c r="X12" s="35" t="s">
        <v>1174</v>
      </c>
    </row>
    <row r="13" spans="1:24" ht="90" customHeight="1" x14ac:dyDescent="0.3">
      <c r="A13" s="35" t="s">
        <v>380</v>
      </c>
      <c r="B13" s="35" t="s">
        <v>382</v>
      </c>
      <c r="C13" s="35" t="s">
        <v>381</v>
      </c>
      <c r="D13" s="35" t="s">
        <v>127</v>
      </c>
      <c r="E13" s="35" t="s">
        <v>139</v>
      </c>
      <c r="F13" s="35" t="s">
        <v>157</v>
      </c>
      <c r="G13" s="35">
        <v>33.4</v>
      </c>
      <c r="H13" s="35">
        <v>1</v>
      </c>
      <c r="I13" s="35">
        <v>21999</v>
      </c>
      <c r="J13" s="35" t="e">
        <f>IF(AH21&lt;&gt;"",(AH21*AG21+AD21)*(1+AE21)*(1+AF21),(M21+AD21)*(1+AF21))</f>
        <v>#VALUE!</v>
      </c>
      <c r="K13" s="35">
        <v>33850</v>
      </c>
      <c r="L13" s="35" t="s">
        <v>400</v>
      </c>
      <c r="M13" s="35" t="s">
        <v>210</v>
      </c>
      <c r="N13" s="35" t="s">
        <v>401</v>
      </c>
      <c r="O13" s="35" t="s">
        <v>402</v>
      </c>
      <c r="P13" s="35" t="s">
        <v>403</v>
      </c>
      <c r="Q13" s="35" t="s">
        <v>146</v>
      </c>
      <c r="R13" s="35" t="s">
        <v>398</v>
      </c>
      <c r="S13" s="35" t="s">
        <v>391</v>
      </c>
      <c r="T13" s="35" t="s">
        <v>394</v>
      </c>
      <c r="U13" s="35" t="s">
        <v>404</v>
      </c>
      <c r="V13" s="35" t="s">
        <v>407</v>
      </c>
      <c r="W13" s="35" t="s">
        <v>155</v>
      </c>
      <c r="X13" s="35" t="s">
        <v>1174</v>
      </c>
    </row>
    <row r="14" spans="1:24" ht="90" customHeight="1" x14ac:dyDescent="0.3">
      <c r="A14" s="35" t="s">
        <v>716</v>
      </c>
      <c r="B14" s="35" t="s">
        <v>717</v>
      </c>
      <c r="C14" s="35" t="s">
        <v>704</v>
      </c>
      <c r="D14" s="35" t="s">
        <v>127</v>
      </c>
      <c r="E14" s="35" t="s">
        <v>139</v>
      </c>
      <c r="F14" s="35" t="s">
        <v>157</v>
      </c>
      <c r="G14" s="35">
        <v>33.4</v>
      </c>
      <c r="H14" s="35">
        <v>3</v>
      </c>
      <c r="I14" s="35">
        <v>284</v>
      </c>
      <c r="J14" s="35">
        <f>IF(AH46&lt;&gt;"",(AH46*AG46+AD46)*(1+AE46)*(1+AF46),(M46+AD46)*(1+AF46))</f>
        <v>0</v>
      </c>
      <c r="K14" s="35">
        <v>440</v>
      </c>
      <c r="L14" s="35" t="s">
        <v>632</v>
      </c>
      <c r="M14" s="35" t="s">
        <v>210</v>
      </c>
      <c r="N14" s="35" t="s">
        <v>310</v>
      </c>
      <c r="O14" s="35" t="s">
        <v>723</v>
      </c>
      <c r="P14" s="35" t="s">
        <v>312</v>
      </c>
      <c r="Q14" s="35" t="s">
        <v>146</v>
      </c>
      <c r="R14" s="35" t="s">
        <v>398</v>
      </c>
      <c r="S14" s="35" t="s">
        <v>722</v>
      </c>
      <c r="T14" s="35" t="s">
        <v>394</v>
      </c>
      <c r="U14" s="35" t="s">
        <v>404</v>
      </c>
      <c r="V14" s="35" t="s">
        <v>407</v>
      </c>
      <c r="W14" s="35" t="s">
        <v>155</v>
      </c>
      <c r="X14" s="35" t="s">
        <v>1174</v>
      </c>
    </row>
    <row r="15" spans="1:24" ht="90" customHeight="1" x14ac:dyDescent="0.3">
      <c r="A15" s="35" t="s">
        <v>844</v>
      </c>
      <c r="B15" s="35" t="s">
        <v>846</v>
      </c>
      <c r="C15" s="35" t="s">
        <v>810</v>
      </c>
      <c r="D15" s="35" t="s">
        <v>845</v>
      </c>
      <c r="E15" s="35" t="s">
        <v>139</v>
      </c>
      <c r="F15" s="35" t="s">
        <v>157</v>
      </c>
      <c r="G15" s="35">
        <v>33.4</v>
      </c>
      <c r="H15" s="35">
        <v>6</v>
      </c>
      <c r="I15" s="35">
        <v>719</v>
      </c>
      <c r="J15" s="35">
        <f>IF(AH58&lt;&gt;"",(AH58*AG58+AD58)*(1+AE58)*(1+AF58),(M58+AD58)*(1+AF58))</f>
        <v>0</v>
      </c>
      <c r="K15" s="35">
        <v>1110</v>
      </c>
      <c r="L15" s="35" t="s">
        <v>572</v>
      </c>
      <c r="M15" s="35" t="s">
        <v>210</v>
      </c>
      <c r="N15" s="35" t="s">
        <v>310</v>
      </c>
      <c r="O15" s="35" t="s">
        <v>853</v>
      </c>
      <c r="P15" s="35" t="s">
        <v>312</v>
      </c>
      <c r="Q15" s="35" t="s">
        <v>146</v>
      </c>
      <c r="R15" s="35" t="s">
        <v>398</v>
      </c>
      <c r="S15" s="35" t="s">
        <v>851</v>
      </c>
      <c r="T15" s="35" t="s">
        <v>394</v>
      </c>
      <c r="U15" s="35" t="s">
        <v>404</v>
      </c>
      <c r="V15" s="35" t="s">
        <v>407</v>
      </c>
      <c r="W15" s="35" t="s">
        <v>155</v>
      </c>
      <c r="X15" s="35" t="s">
        <v>1174</v>
      </c>
    </row>
    <row r="16" spans="1:24" ht="90" customHeight="1" x14ac:dyDescent="0.3">
      <c r="A16" s="35" t="s">
        <v>187</v>
      </c>
      <c r="B16" s="35" t="s">
        <v>188</v>
      </c>
      <c r="C16" s="35" t="s">
        <v>126</v>
      </c>
      <c r="D16" s="35" t="s">
        <v>127</v>
      </c>
      <c r="E16" s="35" t="s">
        <v>139</v>
      </c>
      <c r="F16" s="35" t="s">
        <v>157</v>
      </c>
      <c r="G16" s="35">
        <v>31.2</v>
      </c>
      <c r="H16" s="35"/>
      <c r="I16" s="35">
        <v>4200</v>
      </c>
      <c r="J16" s="35" t="e">
        <f>IF(AH5&lt;&gt;"",(AH5*AG5+AD5)*(1+AE5)*(1+AF5),(M5+AD5)*(1+AF5))</f>
        <v>#VALUE!</v>
      </c>
      <c r="K16" s="35">
        <v>5800</v>
      </c>
      <c r="L16" s="35" t="s">
        <v>169</v>
      </c>
      <c r="M16" s="35" t="s">
        <v>170</v>
      </c>
      <c r="N16" s="35" t="s">
        <v>143</v>
      </c>
      <c r="O16" s="35" t="s">
        <v>197</v>
      </c>
      <c r="P16" s="35" t="s">
        <v>145</v>
      </c>
      <c r="Q16" s="35" t="s">
        <v>146</v>
      </c>
      <c r="R16" s="35"/>
      <c r="S16" s="35"/>
      <c r="T16" s="35"/>
      <c r="U16" s="35" t="s">
        <v>147</v>
      </c>
      <c r="V16" s="35" t="s">
        <v>150</v>
      </c>
      <c r="W16" s="35" t="s">
        <v>155</v>
      </c>
      <c r="X16" s="35" t="s">
        <v>1175</v>
      </c>
    </row>
    <row r="17" spans="1:24" ht="90" customHeight="1" x14ac:dyDescent="0.3">
      <c r="A17" s="35" t="s">
        <v>245</v>
      </c>
      <c r="B17" s="35" t="s">
        <v>246</v>
      </c>
      <c r="C17" s="35" t="s">
        <v>126</v>
      </c>
      <c r="D17" s="35" t="s">
        <v>127</v>
      </c>
      <c r="E17" s="35" t="s">
        <v>139</v>
      </c>
      <c r="F17" s="35" t="s">
        <v>157</v>
      </c>
      <c r="G17" s="35">
        <v>31.2</v>
      </c>
      <c r="H17" s="35"/>
      <c r="I17" s="35">
        <v>6500</v>
      </c>
      <c r="J17" s="35" t="e">
        <f>IF(AH10&lt;&gt;"",(AH10*AG10+AD10)*(1+AE10)*(1+AF10),(M10+AD10)*(1+AF10))</f>
        <v>#VALUE!</v>
      </c>
      <c r="K17" s="35">
        <v>8800</v>
      </c>
      <c r="L17" s="35" t="s">
        <v>255</v>
      </c>
      <c r="M17" s="35" t="s">
        <v>170</v>
      </c>
      <c r="N17" s="35" t="s">
        <v>143</v>
      </c>
      <c r="O17" s="35" t="s">
        <v>256</v>
      </c>
      <c r="P17" s="35" t="s">
        <v>145</v>
      </c>
      <c r="Q17" s="35" t="s">
        <v>146</v>
      </c>
      <c r="R17" s="35"/>
      <c r="S17" s="35"/>
      <c r="T17" s="35"/>
      <c r="U17" s="35" t="s">
        <v>147</v>
      </c>
      <c r="V17" s="35" t="s">
        <v>150</v>
      </c>
      <c r="W17" s="35" t="s">
        <v>155</v>
      </c>
      <c r="X17" s="35" t="s">
        <v>1175</v>
      </c>
    </row>
    <row r="18" spans="1:24" ht="90" customHeight="1" x14ac:dyDescent="0.3">
      <c r="A18" s="35" t="s">
        <v>125</v>
      </c>
      <c r="B18" s="35" t="s">
        <v>128</v>
      </c>
      <c r="C18" s="35" t="s">
        <v>126</v>
      </c>
      <c r="D18" s="35" t="s">
        <v>127</v>
      </c>
      <c r="E18" s="35" t="s">
        <v>139</v>
      </c>
      <c r="F18" s="35" t="s">
        <v>157</v>
      </c>
      <c r="G18" s="35">
        <v>30.2</v>
      </c>
      <c r="H18" s="35">
        <v>2</v>
      </c>
      <c r="I18" s="35">
        <v>6500</v>
      </c>
      <c r="J18" s="35" t="e">
        <f>IF(AH2&lt;&gt;"",(AH2*AG2+AD2)*(1+AE2)*(1+AF2),(M2+AD2)*(1+AF2))</f>
        <v>#VALUE!</v>
      </c>
      <c r="K18" s="35">
        <v>8500</v>
      </c>
      <c r="L18" s="35" t="s">
        <v>141</v>
      </c>
      <c r="M18" s="35" t="s">
        <v>142</v>
      </c>
      <c r="N18" s="35" t="s">
        <v>143</v>
      </c>
      <c r="O18" s="35" t="s">
        <v>144</v>
      </c>
      <c r="P18" s="35" t="s">
        <v>145</v>
      </c>
      <c r="Q18" s="35" t="s">
        <v>146</v>
      </c>
      <c r="R18" s="35"/>
      <c r="S18" s="35"/>
      <c r="T18" s="35"/>
      <c r="U18" s="35" t="s">
        <v>147</v>
      </c>
      <c r="V18" s="35" t="s">
        <v>150</v>
      </c>
      <c r="W18" s="35" t="s">
        <v>155</v>
      </c>
      <c r="X18" s="35" t="s">
        <v>1175</v>
      </c>
    </row>
    <row r="19" spans="1:24" ht="90" customHeight="1" x14ac:dyDescent="0.3">
      <c r="A19" s="35" t="s">
        <v>934</v>
      </c>
      <c r="B19" s="35" t="s">
        <v>936</v>
      </c>
      <c r="C19" s="35" t="s">
        <v>935</v>
      </c>
      <c r="D19" s="35" t="s">
        <v>935</v>
      </c>
      <c r="E19" s="35" t="s">
        <v>139</v>
      </c>
      <c r="F19" s="35" t="s">
        <v>157</v>
      </c>
      <c r="G19" s="35">
        <v>29.4</v>
      </c>
      <c r="H19" s="35">
        <v>1</v>
      </c>
      <c r="I19" s="35">
        <v>355</v>
      </c>
      <c r="J19" s="35">
        <f>IF(AH67&lt;&gt;"",(AH67*AG67+AD67)*(1+AE67)*(1+AF67),(M67+AD67)*(1+AF67))</f>
        <v>0</v>
      </c>
      <c r="K19" s="35">
        <v>550</v>
      </c>
      <c r="L19" s="35" t="s">
        <v>572</v>
      </c>
      <c r="M19" s="35" t="s">
        <v>210</v>
      </c>
      <c r="N19" s="35" t="s">
        <v>310</v>
      </c>
      <c r="O19" s="35" t="s">
        <v>943</v>
      </c>
      <c r="P19" s="35" t="s">
        <v>312</v>
      </c>
      <c r="Q19" s="35" t="s">
        <v>146</v>
      </c>
      <c r="R19" s="35" t="s">
        <v>398</v>
      </c>
      <c r="S19" s="35" t="s">
        <v>941</v>
      </c>
      <c r="T19" s="35" t="s">
        <v>394</v>
      </c>
      <c r="U19" s="35" t="s">
        <v>404</v>
      </c>
      <c r="V19" s="35" t="s">
        <v>407</v>
      </c>
      <c r="W19" s="35" t="s">
        <v>155</v>
      </c>
      <c r="X19" s="35" t="s">
        <v>1174</v>
      </c>
    </row>
    <row r="20" spans="1:24" ht="90" customHeight="1" x14ac:dyDescent="0.3">
      <c r="A20" s="35" t="s">
        <v>214</v>
      </c>
      <c r="B20" s="35" t="s">
        <v>215</v>
      </c>
      <c r="C20" s="35" t="s">
        <v>126</v>
      </c>
      <c r="D20" s="35" t="s">
        <v>127</v>
      </c>
      <c r="E20" s="35" t="s">
        <v>139</v>
      </c>
      <c r="F20" s="35" t="s">
        <v>157</v>
      </c>
      <c r="G20" s="35">
        <v>29</v>
      </c>
      <c r="H20" s="35">
        <v>2</v>
      </c>
      <c r="I20" s="35">
        <v>5800</v>
      </c>
      <c r="J20" s="35" t="e">
        <f>IF(AH7&lt;&gt;"",(AH7*AG7+AD7)*(1+AE7)*(1+AF7),(M7+AD7)*(1+AF7))</f>
        <v>#VALUE!</v>
      </c>
      <c r="K20" s="35">
        <v>8000</v>
      </c>
      <c r="L20" s="35" t="s">
        <v>169</v>
      </c>
      <c r="M20" s="35" t="s">
        <v>170</v>
      </c>
      <c r="N20" s="35" t="s">
        <v>143</v>
      </c>
      <c r="O20" s="35" t="s">
        <v>222</v>
      </c>
      <c r="P20" s="35" t="s">
        <v>145</v>
      </c>
      <c r="Q20" s="35" t="s">
        <v>146</v>
      </c>
      <c r="R20" s="35"/>
      <c r="S20" s="35"/>
      <c r="T20" s="35"/>
      <c r="U20" s="35" t="s">
        <v>147</v>
      </c>
      <c r="V20" s="35" t="s">
        <v>150</v>
      </c>
      <c r="W20" s="35" t="s">
        <v>155</v>
      </c>
      <c r="X20" s="35" t="s">
        <v>1175</v>
      </c>
    </row>
    <row r="21" spans="1:24" ht="90" customHeight="1" x14ac:dyDescent="0.3">
      <c r="A21" s="35" t="s">
        <v>888</v>
      </c>
      <c r="B21" s="35" t="s">
        <v>889</v>
      </c>
      <c r="C21" s="35" t="s">
        <v>856</v>
      </c>
      <c r="D21" s="35" t="s">
        <v>490</v>
      </c>
      <c r="E21" s="35" t="s">
        <v>139</v>
      </c>
      <c r="F21" s="35" t="s">
        <v>157</v>
      </c>
      <c r="G21" s="35">
        <v>28.4</v>
      </c>
      <c r="H21" s="35">
        <v>6</v>
      </c>
      <c r="I21" s="35">
        <v>39</v>
      </c>
      <c r="J21" s="35">
        <f>IF(AH62&lt;&gt;"",(AH62*AG62+AD62)*(1+AE62)*(1+AF62),(M62+AD62)*(1+AF62))</f>
        <v>0</v>
      </c>
      <c r="K21" s="35">
        <v>60</v>
      </c>
      <c r="L21" s="35" t="s">
        <v>141</v>
      </c>
      <c r="M21" s="35" t="s">
        <v>142</v>
      </c>
      <c r="N21" s="35" t="s">
        <v>310</v>
      </c>
      <c r="O21" s="35" t="s">
        <v>895</v>
      </c>
      <c r="P21" s="35" t="s">
        <v>312</v>
      </c>
      <c r="Q21" s="35" t="s">
        <v>146</v>
      </c>
      <c r="R21" s="35" t="s">
        <v>398</v>
      </c>
      <c r="S21" s="35" t="s">
        <v>894</v>
      </c>
      <c r="T21" s="35" t="s">
        <v>394</v>
      </c>
      <c r="U21" s="35" t="s">
        <v>404</v>
      </c>
      <c r="V21" s="35" t="s">
        <v>407</v>
      </c>
      <c r="W21" s="35" t="s">
        <v>155</v>
      </c>
      <c r="X21" s="35" t="s">
        <v>1174</v>
      </c>
    </row>
    <row r="22" spans="1:24" ht="90" customHeight="1" x14ac:dyDescent="0.3">
      <c r="A22" s="35" t="s">
        <v>175</v>
      </c>
      <c r="B22" s="35" t="s">
        <v>176</v>
      </c>
      <c r="C22" s="35" t="s">
        <v>126</v>
      </c>
      <c r="D22" s="35" t="s">
        <v>127</v>
      </c>
      <c r="E22" s="35" t="s">
        <v>139</v>
      </c>
      <c r="F22" s="35" t="s">
        <v>157</v>
      </c>
      <c r="G22" s="35">
        <v>28.2</v>
      </c>
      <c r="H22" s="35">
        <v>1</v>
      </c>
      <c r="I22" s="35">
        <v>12500</v>
      </c>
      <c r="J22" s="35" t="e">
        <f>IF(AH4&lt;&gt;"",(AH4*AG4+AD4)*(1+AE4)*(1+AF4),(M4+AD4)*(1+AF4))</f>
        <v>#VALUE!</v>
      </c>
      <c r="K22" s="35">
        <v>15500</v>
      </c>
      <c r="L22" s="35" t="s">
        <v>183</v>
      </c>
      <c r="M22" s="35" t="s">
        <v>142</v>
      </c>
      <c r="N22" s="35" t="s">
        <v>143</v>
      </c>
      <c r="O22" s="35" t="s">
        <v>184</v>
      </c>
      <c r="P22" s="35" t="s">
        <v>145</v>
      </c>
      <c r="Q22" s="35" t="s">
        <v>146</v>
      </c>
      <c r="R22" s="35"/>
      <c r="S22" s="35"/>
      <c r="T22" s="35"/>
      <c r="U22" s="35" t="s">
        <v>147</v>
      </c>
      <c r="V22" s="35" t="s">
        <v>150</v>
      </c>
      <c r="W22" s="35" t="s">
        <v>155</v>
      </c>
      <c r="X22" s="35" t="s">
        <v>1175</v>
      </c>
    </row>
  </sheetData>
  <autoFilter ref="A2:X22" xr:uid="{00000000-0009-0000-0000-00000B000000}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Inputs_Assumptions</vt:lpstr>
      <vt:lpstr>Products_Master</vt:lpstr>
      <vt:lpstr>Inventory_Plan_5L</vt:lpstr>
      <vt:lpstr>Inventory_Plan_10L</vt:lpstr>
      <vt:lpstr>Inventory_Plan_20L</vt:lpstr>
      <vt:lpstr>FPGA_Board_BOM</vt:lpstr>
      <vt:lpstr>Amazon_IndiaMart_Playbook</vt:lpstr>
      <vt:lpstr>Vendors_Suppliers</vt:lpstr>
      <vt:lpstr>Vendor_Directory</vt:lpstr>
      <vt:lpstr>Top10_GTM_Summary</vt:lpstr>
      <vt:lpstr>HighPriority_All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Gupta</cp:lastModifiedBy>
  <dcterms:created xsi:type="dcterms:W3CDTF">2025-12-20T14:40:27Z</dcterms:created>
  <dcterms:modified xsi:type="dcterms:W3CDTF">2026-01-03T18:09:13Z</dcterms:modified>
</cp:coreProperties>
</file>